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inSvc\Accts Pay\Forms\"/>
    </mc:Choice>
  </mc:AlternateContent>
  <xr:revisionPtr revIDLastSave="0" documentId="13_ncr:1_{3EB928F9-2874-491A-A221-C834ADDB7907}" xr6:coauthVersionLast="47" xr6:coauthVersionMax="47" xr10:uidLastSave="{00000000-0000-0000-0000-000000000000}"/>
  <bookViews>
    <workbookView xWindow="-108" yWindow="-108" windowWidth="23256" windowHeight="12576" activeTab="1" xr2:uid="{0797E197-5EE1-43DB-AD77-624F53C42090}"/>
  </bookViews>
  <sheets>
    <sheet name="Instructions" sheetId="2" r:id="rId1"/>
    <sheet name="Student Reimbursement Form" sheetId="3" r:id="rId2"/>
    <sheet name="Example" sheetId="1" r:id="rId3"/>
  </sheets>
  <definedNames>
    <definedName name="_xlnm.Print_Area" localSheetId="1">'Student Reimbursement Form'!$A$1:$I$39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N22" i="3"/>
  <c r="A6" i="2"/>
  <c r="A8" i="2" s="1"/>
  <c r="A10" i="2" s="1"/>
  <c r="A15" i="2" s="1"/>
  <c r="A17" i="2" s="1"/>
  <c r="A19" i="2" s="1"/>
  <c r="A21" i="2" s="1"/>
  <c r="P22" i="1"/>
  <c r="P31" i="1" s="1"/>
  <c r="V19" i="1"/>
  <c r="S32" i="1"/>
</calcChain>
</file>

<file path=xl/sharedStrings.xml><?xml version="1.0" encoding="utf-8"?>
<sst xmlns="http://schemas.openxmlformats.org/spreadsheetml/2006/main" count="103" uniqueCount="82">
  <si>
    <t>O L I N   C O L L E G E   O F   E N G I N E E R I N G</t>
  </si>
  <si>
    <t>Date of request:</t>
  </si>
  <si>
    <t>Olin ID No.:</t>
  </si>
  <si>
    <t>Name of student:</t>
  </si>
  <si>
    <t>First Last</t>
  </si>
  <si>
    <t>Email (if other 
than olin.edu):</t>
  </si>
  <si>
    <t>Course/activity:</t>
  </si>
  <si>
    <t>Design Nature</t>
  </si>
  <si>
    <t>Babson/Brandeis/ 
Wellesley mailing address:</t>
  </si>
  <si>
    <t>Course No.:</t>
  </si>
  <si>
    <t>ENGR1200</t>
  </si>
  <si>
    <t>Instructor/advisor/ supervisor:</t>
  </si>
  <si>
    <t>Benjamin Linder</t>
  </si>
  <si>
    <t>Is your current bank account on file for direct deposit?  If not, see ***instructions below.</t>
  </si>
  <si>
    <t>Yes</t>
  </si>
  <si>
    <t>Date of expense</t>
  </si>
  <si>
    <t>Vendor</t>
  </si>
  <si>
    <r>
      <rPr>
        <b/>
        <sz val="14"/>
        <color rgb="FF000000"/>
        <rFont val="Aptos Narrow"/>
        <family val="2"/>
        <scheme val="minor"/>
      </rPr>
      <t xml:space="preserve">Description
</t>
    </r>
    <r>
      <rPr>
        <b/>
        <sz val="12"/>
        <color rgb="FF000000"/>
        <rFont val="Aptos Narrow"/>
        <family val="2"/>
        <scheme val="minor"/>
      </rPr>
      <t>If the receipt is not itemized, you have to list each item.</t>
    </r>
  </si>
  <si>
    <t>Amount</t>
  </si>
  <si>
    <t>Amazon</t>
  </si>
  <si>
    <t>Total requested:</t>
  </si>
  <si>
    <t xml:space="preserve">***To submit your bank information securely through the Olin portal, go to MyStAR&gt;Student Private Data and follow the instructions provided. </t>
  </si>
  <si>
    <t>Students and faculty, do not enter information in the spaces below.</t>
  </si>
  <si>
    <t>GL account number:</t>
  </si>
  <si>
    <t>24-character description:</t>
  </si>
  <si>
    <t>Budget Director signature:</t>
  </si>
  <si>
    <t>Date:</t>
  </si>
  <si>
    <t>Enter number of miles:</t>
  </si>
  <si>
    <t>FOR CLASS AND FACULTY RESEARCH EXPENSES:
Email this form and receipt(s) to your instructor/research advisor for approval and copy AcademicAdmins@olin.edu.</t>
  </si>
  <si>
    <t>SCOPE, CORe, SAG, Competition Teams, Passionate Pursuits, Co-Curriculars, or other programs/areas of the college might have their own process. This form should be emailed to the appropriate individual/office.</t>
  </si>
  <si>
    <t>Rate changes every January 1</t>
  </si>
  <si>
    <t>Fall 2025 Student Request for Reimbursement</t>
  </si>
  <si>
    <r>
      <rPr>
        <b/>
        <u/>
        <sz val="14"/>
        <color rgb="FFFF0000"/>
        <rFont val="Aptos Narrow"/>
        <family val="2"/>
        <scheme val="minor"/>
      </rPr>
      <t>INSTRUCTIONS</t>
    </r>
    <r>
      <rPr>
        <b/>
        <sz val="14"/>
        <color rgb="FFFF0000"/>
        <rFont val="Aptos Narrow"/>
        <family val="2"/>
        <scheme val="minor"/>
      </rPr>
      <t xml:space="preserve">
EMAIL THIS FORM AND YOUR ITEMIZED RECEIPTS* TO YOUR INSTRUCTOR/ADVISOR/SUPERVISOR FOR APPROVAL.
</t>
    </r>
    <r>
      <rPr>
        <b/>
        <i/>
        <u/>
        <sz val="14"/>
        <color rgb="FFFF0000"/>
        <rFont val="Aptos Narrow"/>
        <family val="2"/>
        <scheme val="minor"/>
      </rPr>
      <t xml:space="preserve">FOR CLASS PROJECTS/ACTIVITIES AND FACULTY RESEARCH EXPENSES ONLY: Copy AcademicAdmins@olin.edu.
</t>
    </r>
    <r>
      <rPr>
        <b/>
        <sz val="14"/>
        <color rgb="FFFF0000"/>
        <rFont val="Aptos Narrow"/>
        <family val="2"/>
        <scheme val="minor"/>
      </rPr>
      <t>*Each receipt must show the form of payment (credit/debit card, PayPal, or cash, etc.).  
*Original receipts should be submitted as pdf files or photos/images in jpg, gif, or bmp format.
SUBMIT YOUR REQUEST WITHIN TWO WEEKS OF INCURRING THE  EXPENSE.</t>
    </r>
  </si>
  <si>
    <t>2025 Federal rate =</t>
  </si>
  <si>
    <t>$0.70/mile</t>
  </si>
  <si>
    <t>Figure for Amount 2025 column:</t>
  </si>
  <si>
    <t>**For travel via personal vehicle, the 2024 Federal mileage reimbursement rate = $0.67/mile, 2025 ratea= $0.70/mile.  Calculate and enter figure in the Amount column.</t>
  </si>
  <si>
    <t>Flast@olin.edu.com</t>
  </si>
  <si>
    <r>
      <rPr>
        <b/>
        <u/>
        <sz val="12"/>
        <color rgb="FFFF0000"/>
        <rFont val="Aptos Narrow"/>
        <family val="2"/>
        <scheme val="minor"/>
      </rPr>
      <t>REQUIRED: REASON FOR EXPENSE</t>
    </r>
    <r>
      <rPr>
        <b/>
        <sz val="12"/>
        <color rgb="FFFF0000"/>
        <rFont val="Aptos Narrow"/>
        <family val="2"/>
        <scheme val="minor"/>
      </rPr>
      <t xml:space="preserve">
MATERIALS: Briefly describe project and how item(s) relate to it.
TRAVEL: Enter destination, names of students, and detailed purpose of trip -- attach a map to confirm mileage.**</t>
    </r>
  </si>
  <si>
    <t xml:space="preserve">For our toy Softball project, we purchased balloons to propel the ball. Our team drove to Greene's field in Needham Center(1.5 Miles each way) to test our prototype on a playing field. I was the driver and my teammates with Jane Smith and John Jones. </t>
  </si>
  <si>
    <t>100 Balloons</t>
  </si>
  <si>
    <t>Personal car(mileage)</t>
  </si>
  <si>
    <t xml:space="preserve">Olin to Needham Center-1.5 miles each way </t>
  </si>
  <si>
    <t>**2025  mileage calculator</t>
  </si>
  <si>
    <t>01-130-5303-12345-12345-1234</t>
  </si>
  <si>
    <t>Instructions
Student Request for Reimbursement for Academic Expenses</t>
  </si>
  <si>
    <t>Complete the form as fully as possible.</t>
  </si>
  <si>
    <t>Does Olin have your direct deposit details?</t>
  </si>
  <si>
    <t>To be reimbursed for materials, describe project and explain why purchase was necessary.</t>
  </si>
  <si>
    <t>To be reimbursed for travel expenses give the destination and purpose of the trip and the names of the travelers.</t>
  </si>
  <si>
    <t>Trips to purchase materials are not eligible for mileage reimbursement.</t>
  </si>
  <si>
    <t>Enter date of purchase, vendor, description, amount.</t>
  </si>
  <si>
    <t>This Excel form is set to calculate the total.</t>
  </si>
  <si>
    <t>Attach scans/photos of original itemized receipts that show the form of payment.</t>
  </si>
  <si>
    <t>Email your form and receipts to your instructor/advisor/supervisor.</t>
  </si>
  <si>
    <t>Other areas of the college, such as SCOPE and Student Affairs, might have their own forms and procedures</t>
  </si>
  <si>
    <t>Olin is exempt from Massachusetts sales tax.  Certificates can be found in the Student_Projects folder on the Public drive.</t>
  </si>
  <si>
    <t>* Be certain your ID number is correct.</t>
  </si>
  <si>
    <t>* If not, submit your bank information securely through the Olin portal by going to MyStAR&gt;Student Private Data.</t>
  </si>
  <si>
    <t>* Simply entering "For class project"  is not sufficient.</t>
  </si>
  <si>
    <t>* "User visit," e.g.,  is not enough - explain where you went and why - a map is required for mileage reimbursement.</t>
  </si>
  <si>
    <t>* For use of a personal vehicle, Olin reimburses mileage at the Federal rate - Olin does not reimburse the cost of gas.</t>
  </si>
  <si>
    <t>* The Federal mileage rate changes every year - a calculator appears to the right of the form.</t>
  </si>
  <si>
    <t>* If the items on a receipt are not clear, enter individual descriptions on separate lines.</t>
  </si>
  <si>
    <t>* Do not enter anything in the fields at the bottom of the form.</t>
  </si>
  <si>
    <t>* Forms of payment include cash, credit/debit card, PayPal - additional detail might be required.</t>
  </si>
  <si>
    <t>* Copy AcademicAdmins@olin.edu for class and faculty research expenses.</t>
  </si>
  <si>
    <t>Enter detailed reason for expense here.</t>
  </si>
  <si>
    <t>**2025 mileage calculator</t>
  </si>
  <si>
    <t>**For travel via personal vehicle, the 2025 Federal mileage reimbursement rate = $0.70/mile.  Calculate and enter figure in the Amount column.</t>
  </si>
  <si>
    <t>Figure for Amount column:</t>
  </si>
  <si>
    <t>No</t>
  </si>
  <si>
    <t>Email
 (if other than olin.edu):</t>
  </si>
  <si>
    <t>If not Olin, 
Mailing Address:</t>
  </si>
  <si>
    <r>
      <rPr>
        <u/>
        <sz val="9"/>
        <color rgb="FFFF0000"/>
        <rFont val="Aptos Narrow"/>
        <family val="2"/>
        <scheme val="minor"/>
      </rPr>
      <t>REQUIRED: REASON FOR EXPENSE</t>
    </r>
    <r>
      <rPr>
        <sz val="9"/>
        <color rgb="FFFF0000"/>
        <rFont val="Aptos Narrow"/>
        <family val="2"/>
        <scheme val="minor"/>
      </rPr>
      <t xml:space="preserve">
MATERIALS: Briefly describe project and how item(s) relate to it.
TRAVEL/FOOD: Enter destination, student names, and purpose of trip -- personal vehicle: attach a map to confirm mileage.**</t>
    </r>
  </si>
  <si>
    <r>
      <rPr>
        <u/>
        <sz val="9"/>
        <color rgb="FF0033CC"/>
        <rFont val="Aptos Narrow"/>
        <family val="2"/>
        <scheme val="minor"/>
      </rPr>
      <t>INSTRUCTIONS</t>
    </r>
    <r>
      <rPr>
        <sz val="9"/>
        <color rgb="FF0033CC"/>
        <rFont val="Aptos Narrow"/>
        <family val="2"/>
        <scheme val="minor"/>
      </rPr>
      <t xml:space="preserve">
EMAIL THIS FORM AND YOUR ITEMIZED RECEIPTS* TO YOUR INSTRUCTOR/ADVISOR/SUPERVISOR FOR APPROVAL.
</t>
    </r>
    <r>
      <rPr>
        <i/>
        <u/>
        <sz val="9"/>
        <color rgb="FF0033CC"/>
        <rFont val="Aptos Narrow"/>
        <family val="2"/>
        <scheme val="minor"/>
      </rPr>
      <t xml:space="preserve">FOR CLASS PROJECTS/ACTIVITIES AND FACULTY RESEARCH EXPENSES ONLY: Copy AcademicAdmins@olin.edu.
</t>
    </r>
    <r>
      <rPr>
        <sz val="9"/>
        <color rgb="FF0033CC"/>
        <rFont val="Aptos Narrow"/>
        <family val="2"/>
        <scheme val="minor"/>
      </rPr>
      <t>*Each receipt must show the form of payment (credit/debit card, PayPal, or cash, etc.).  
*Original receipts should be submitted as pdf files or photos/images in jpg, gif, or bmp format.
PLEASE SUBMIT YOUR REIMBURSEMENT REQUEST WITHIN TWO WEEKS OF INCURRING THE  EXPENSE.</t>
    </r>
  </si>
  <si>
    <r>
      <t xml:space="preserve">Description
</t>
    </r>
    <r>
      <rPr>
        <sz val="9"/>
        <color rgb="FF000000"/>
        <rFont val="Aptos Narrow"/>
        <family val="2"/>
        <scheme val="minor"/>
      </rPr>
      <t xml:space="preserve">if the receipt is not itemized, please list each item. </t>
    </r>
  </si>
  <si>
    <r>
      <t>***</t>
    </r>
    <r>
      <rPr>
        <b/>
        <u/>
        <sz val="9"/>
        <color rgb="FF0033CC"/>
        <rFont val="Aptos Narrow"/>
        <family val="2"/>
        <scheme val="minor"/>
      </rPr>
      <t xml:space="preserve">To submit your bank information </t>
    </r>
    <r>
      <rPr>
        <b/>
        <sz val="9"/>
        <color rgb="FF0033CC"/>
        <rFont val="Aptos Narrow"/>
        <family val="2"/>
        <scheme val="minor"/>
      </rPr>
      <t xml:space="preserve">securely through the Olin portal, go to MyStAR&gt;Student Private Data and follow the instructions provided. </t>
    </r>
  </si>
  <si>
    <r>
      <t xml:space="preserve">Is your current bank account on file for direct deposit?  
 </t>
    </r>
    <r>
      <rPr>
        <b/>
        <u/>
        <sz val="9"/>
        <color rgb="FF0000CC"/>
        <rFont val="Aptos Narrow"/>
        <family val="2"/>
        <scheme val="minor"/>
      </rPr>
      <t>If no, see ***instructions below.</t>
    </r>
  </si>
  <si>
    <t xml:space="preserve">2025 Student Request for Reimbursement                         </t>
  </si>
  <si>
    <t>form Date 07/01/2025</t>
  </si>
  <si>
    <t>40-character description: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</si>
</sst>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0033CC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rgb="FF0000CC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0033CC"/>
      <name val="Aptos Narrow"/>
      <family val="2"/>
      <scheme val="minor"/>
    </font>
    <font>
      <b/>
      <i/>
      <sz val="14"/>
      <color rgb="FFFF0000"/>
      <name val="Aptos Narrow"/>
      <family val="2"/>
      <scheme val="minor"/>
    </font>
    <font>
      <b/>
      <i/>
      <sz val="14"/>
      <color rgb="FF0033CC"/>
      <name val="Aptos Narrow"/>
      <family val="2"/>
      <scheme val="minor"/>
    </font>
    <font>
      <b/>
      <sz val="14"/>
      <color rgb="FF0033CC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0000CC"/>
      <name val="Aptos Narrow"/>
      <family val="2"/>
      <scheme val="minor"/>
    </font>
    <font>
      <b/>
      <sz val="14"/>
      <color rgb="FF0000CC"/>
      <name val="Aptos Narrow"/>
      <family val="2"/>
      <scheme val="minor"/>
    </font>
    <font>
      <b/>
      <sz val="12"/>
      <color theme="4" tint="-0.499984740745262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b/>
      <i/>
      <u/>
      <sz val="14"/>
      <color rgb="FFFF0000"/>
      <name val="Aptos Narrow"/>
      <family val="2"/>
      <scheme val="minor"/>
    </font>
    <font>
      <b/>
      <sz val="9"/>
      <color rgb="FF0000CC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 tint="0.34998626667073579"/>
      <name val="Arial"/>
      <family val="2"/>
    </font>
    <font>
      <i/>
      <sz val="12"/>
      <color theme="1" tint="0.34998626667073579"/>
      <name val="Arial"/>
      <family val="2"/>
    </font>
    <font>
      <sz val="16"/>
      <color theme="0"/>
      <name val="Arial"/>
      <family val="2"/>
    </font>
    <font>
      <b/>
      <sz val="11"/>
      <color rgb="FFFF0000"/>
      <name val="Aptos Narrow"/>
      <family val="2"/>
      <scheme val="minor"/>
    </font>
    <font>
      <b/>
      <sz val="10"/>
      <color rgb="FF0000CC"/>
      <name val="Aptos Narrow"/>
      <family val="2"/>
      <scheme val="minor"/>
    </font>
    <font>
      <b/>
      <sz val="11"/>
      <color rgb="FF0000C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0033CC"/>
      <name val="Aptos Narrow"/>
      <family val="2"/>
      <scheme val="minor"/>
    </font>
    <font>
      <b/>
      <u/>
      <sz val="9"/>
      <color rgb="FF0033CC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u/>
      <sz val="9"/>
      <color rgb="FFFF0000"/>
      <name val="Aptos Narrow"/>
      <family val="2"/>
      <scheme val="minor"/>
    </font>
    <font>
      <sz val="9"/>
      <color rgb="FF0033CC"/>
      <name val="Aptos Narrow"/>
      <family val="2"/>
      <scheme val="minor"/>
    </font>
    <font>
      <u/>
      <sz val="9"/>
      <color rgb="FF0033CC"/>
      <name val="Aptos Narrow"/>
      <family val="2"/>
      <scheme val="minor"/>
    </font>
    <font>
      <i/>
      <u/>
      <sz val="9"/>
      <color rgb="FF0033CC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CC"/>
      <name val="Aptos Narrow"/>
      <family val="2"/>
      <scheme val="minor"/>
    </font>
    <font>
      <b/>
      <u/>
      <sz val="9"/>
      <color rgb="FF0000CC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8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1F5F9"/>
        <bgColor rgb="FFF1F5F9"/>
      </patternFill>
    </fill>
    <fill>
      <patternFill patternType="solid">
        <fgColor rgb="FFDCE6F1"/>
        <bgColor rgb="FFDCE6F1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EEECE1"/>
      </patternFill>
    </fill>
    <fill>
      <patternFill patternType="solid">
        <fgColor theme="1" tint="0.34998626667073579"/>
        <bgColor rgb="FFF2F2F2"/>
      </patternFill>
    </fill>
    <fill>
      <patternFill patternType="solid">
        <fgColor rgb="FFFFFFCC"/>
        <bgColor rgb="FFF8F8F8"/>
      </patternFill>
    </fill>
    <fill>
      <patternFill patternType="solid">
        <fgColor theme="0"/>
        <bgColor rgb="FFF8F8F8"/>
      </patternFill>
    </fill>
    <fill>
      <patternFill patternType="solid">
        <fgColor rgb="FFFFFFCC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9" fontId="6" fillId="3" borderId="4" xfId="0" applyNumberFormat="1" applyFont="1" applyFill="1" applyBorder="1" applyAlignment="1" applyProtection="1">
      <alignment horizontal="center" vertical="center"/>
      <protection locked="0"/>
    </xf>
    <xf numFmtId="14" fontId="10" fillId="0" borderId="18" xfId="0" applyNumberFormat="1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22" xfId="0" applyFont="1" applyBorder="1" applyAlignment="1">
      <alignment horizontal="center" vertical="center"/>
    </xf>
    <xf numFmtId="0" fontId="9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8" borderId="0" xfId="0" applyFill="1"/>
    <xf numFmtId="0" fontId="24" fillId="2" borderId="42" xfId="0" applyFont="1" applyFill="1" applyBorder="1" applyAlignment="1">
      <alignment horizontal="left" vertical="center"/>
    </xf>
    <xf numFmtId="0" fontId="24" fillId="2" borderId="43" xfId="0" applyFont="1" applyFill="1" applyBorder="1" applyAlignment="1">
      <alignment vertical="center"/>
    </xf>
    <xf numFmtId="0" fontId="24" fillId="9" borderId="42" xfId="0" applyFont="1" applyFill="1" applyBorder="1" applyAlignment="1">
      <alignment horizontal="left" vertical="center"/>
    </xf>
    <xf numFmtId="0" fontId="24" fillId="9" borderId="43" xfId="0" applyFont="1" applyFill="1" applyBorder="1" applyAlignment="1">
      <alignment horizontal="left" vertical="center" indent="2"/>
    </xf>
    <xf numFmtId="0" fontId="24" fillId="2" borderId="43" xfId="0" applyFont="1" applyFill="1" applyBorder="1" applyAlignment="1">
      <alignment horizontal="left" vertical="center" indent="2"/>
    </xf>
    <xf numFmtId="0" fontId="25" fillId="9" borderId="43" xfId="0" applyFont="1" applyFill="1" applyBorder="1" applyAlignment="1">
      <alignment horizontal="left" vertical="center" indent="2"/>
    </xf>
    <xf numFmtId="0" fontId="25" fillId="9" borderId="43" xfId="0" applyFont="1" applyFill="1" applyBorder="1" applyAlignment="1">
      <alignment horizontal="left" vertical="center"/>
    </xf>
    <xf numFmtId="0" fontId="24" fillId="2" borderId="44" xfId="0" applyFont="1" applyFill="1" applyBorder="1" applyAlignment="1">
      <alignment horizontal="left" vertical="center"/>
    </xf>
    <xf numFmtId="0" fontId="24" fillId="2" borderId="46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horizontal="right" vertical="center"/>
    </xf>
    <xf numFmtId="0" fontId="38" fillId="0" borderId="0" xfId="0" applyFont="1" applyAlignment="1">
      <alignment horizontal="center" vertical="center" wrapText="1"/>
    </xf>
    <xf numFmtId="0" fontId="28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9" fillId="8" borderId="0" xfId="0" applyFont="1" applyFill="1"/>
    <xf numFmtId="0" fontId="16" fillId="8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left" vertical="center" indent="1"/>
    </xf>
    <xf numFmtId="0" fontId="30" fillId="12" borderId="0" xfId="0" applyFont="1" applyFill="1" applyAlignment="1">
      <alignment horizontal="left" vertical="center" indent="1"/>
    </xf>
    <xf numFmtId="0" fontId="29" fillId="0" borderId="0" xfId="0" applyFont="1" applyAlignment="1">
      <alignment vertical="center" wrapText="1"/>
    </xf>
    <xf numFmtId="0" fontId="41" fillId="0" borderId="0" xfId="0" applyFont="1" applyAlignment="1">
      <alignment horizontal="center" vertical="center"/>
    </xf>
    <xf numFmtId="0" fontId="30" fillId="13" borderId="51" xfId="0" applyFont="1" applyFill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0" fillId="12" borderId="0" xfId="0" applyNumberFormat="1" applyFont="1" applyFill="1" applyAlignment="1">
      <alignment horizontal="left" vertical="center" indent="2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26" fillId="10" borderId="39" xfId="0" applyFont="1" applyFill="1" applyBorder="1" applyAlignment="1">
      <alignment horizontal="center" vertical="center" wrapText="1"/>
    </xf>
    <xf numFmtId="0" fontId="26" fillId="10" borderId="41" xfId="0" applyFont="1" applyFill="1" applyBorder="1" applyAlignment="1">
      <alignment horizontal="center" vertical="center" wrapText="1"/>
    </xf>
    <xf numFmtId="0" fontId="26" fillId="10" borderId="42" xfId="0" applyFont="1" applyFill="1" applyBorder="1" applyAlignment="1">
      <alignment horizontal="center" vertical="center" wrapText="1"/>
    </xf>
    <xf numFmtId="0" fontId="26" fillId="10" borderId="43" xfId="0" applyFont="1" applyFill="1" applyBorder="1" applyAlignment="1">
      <alignment horizontal="center" vertical="center" wrapText="1"/>
    </xf>
    <xf numFmtId="0" fontId="26" fillId="10" borderId="44" xfId="0" applyFont="1" applyFill="1" applyBorder="1" applyAlignment="1">
      <alignment horizontal="center" vertical="center" wrapText="1"/>
    </xf>
    <xf numFmtId="0" fontId="26" fillId="10" borderId="46" xfId="0" applyFont="1" applyFill="1" applyBorder="1" applyAlignment="1">
      <alignment horizontal="center" vertical="center" wrapText="1"/>
    </xf>
    <xf numFmtId="0" fontId="25" fillId="7" borderId="42" xfId="0" applyFont="1" applyFill="1" applyBorder="1" applyAlignment="1">
      <alignment horizontal="center" vertical="center" wrapText="1"/>
    </xf>
    <xf numFmtId="0" fontId="25" fillId="7" borderId="43" xfId="0" applyFont="1" applyFill="1" applyBorder="1" applyAlignment="1">
      <alignment horizontal="center" vertical="center" wrapText="1"/>
    </xf>
    <xf numFmtId="0" fontId="9" fillId="0" borderId="0" xfId="0" applyFont="1"/>
    <xf numFmtId="0" fontId="22" fillId="0" borderId="0" xfId="0" applyFont="1" applyAlignment="1">
      <alignment horizontal="left" vertical="center" wrapText="1"/>
    </xf>
    <xf numFmtId="0" fontId="32" fillId="5" borderId="51" xfId="0" applyFont="1" applyFill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164" fontId="5" fillId="6" borderId="17" xfId="0" applyNumberFormat="1" applyFont="1" applyFill="1" applyBorder="1" applyAlignment="1">
      <alignment horizontal="center" vertical="center" wrapText="1"/>
    </xf>
    <xf numFmtId="0" fontId="5" fillId="5" borderId="50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18" fillId="6" borderId="47" xfId="0" applyFont="1" applyFill="1" applyBorder="1" applyAlignment="1" applyProtection="1">
      <alignment horizontal="center" vertical="center"/>
      <protection locked="0"/>
    </xf>
    <xf numFmtId="14" fontId="43" fillId="5" borderId="5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1" fillId="11" borderId="51" xfId="0" applyFont="1" applyFill="1" applyBorder="1" applyAlignment="1" applyProtection="1">
      <alignment horizontal="left" vertical="top" wrapText="1" indent="1"/>
      <protection locked="0"/>
    </xf>
    <xf numFmtId="0" fontId="9" fillId="0" borderId="51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8" fillId="0" borderId="51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6" fillId="3" borderId="4" xfId="0" applyFont="1" applyFill="1" applyBorder="1" applyAlignment="1" applyProtection="1">
      <alignment horizontal="left" vertical="center" indent="1"/>
      <protection locked="0"/>
    </xf>
    <xf numFmtId="0" fontId="5" fillId="0" borderId="0" xfId="0" applyFont="1" applyAlignment="1">
      <alignment vertical="center" wrapText="1"/>
    </xf>
    <xf numFmtId="0" fontId="23" fillId="3" borderId="4" xfId="2" applyFill="1" applyBorder="1" applyAlignment="1" applyProtection="1">
      <alignment horizontal="left" vertical="center" indent="1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 applyProtection="1">
      <alignment horizontal="left" vertical="center" indent="1"/>
      <protection locked="0"/>
    </xf>
    <xf numFmtId="0" fontId="6" fillId="3" borderId="4" xfId="0" quotePrefix="1" applyFont="1" applyFill="1" applyBorder="1" applyAlignment="1" applyProtection="1">
      <alignment horizontal="left" vertical="center" indent="1"/>
      <protection locked="0"/>
    </xf>
    <xf numFmtId="0" fontId="5" fillId="0" borderId="0" xfId="0" applyFont="1" applyAlignment="1">
      <alignment vertical="center"/>
    </xf>
    <xf numFmtId="0" fontId="5" fillId="0" borderId="24" xfId="0" applyFont="1" applyBorder="1" applyAlignment="1">
      <alignment vertical="center"/>
    </xf>
    <xf numFmtId="0" fontId="6" fillId="4" borderId="4" xfId="0" applyFont="1" applyFill="1" applyBorder="1" applyAlignment="1" applyProtection="1">
      <alignment horizontal="left" vertical="center" indent="1"/>
      <protection locked="0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4" fontId="22" fillId="5" borderId="10" xfId="0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left" vertical="center" wrapText="1" indent="1"/>
      <protection locked="0"/>
    </xf>
    <xf numFmtId="0" fontId="7" fillId="3" borderId="6" xfId="0" applyFont="1" applyFill="1" applyBorder="1" applyAlignment="1" applyProtection="1">
      <alignment horizontal="left" vertical="center" wrapText="1" indent="1"/>
      <protection locked="0"/>
    </xf>
    <xf numFmtId="0" fontId="7" fillId="3" borderId="7" xfId="0" applyFont="1" applyFill="1" applyBorder="1" applyAlignment="1" applyProtection="1">
      <alignment horizontal="left" vertical="center" wrapText="1" indent="1"/>
      <protection locked="0"/>
    </xf>
    <xf numFmtId="0" fontId="7" fillId="3" borderId="11" xfId="0" applyFont="1" applyFill="1" applyBorder="1" applyAlignment="1" applyProtection="1">
      <alignment horizontal="left" vertical="center" indent="1"/>
      <protection locked="0"/>
    </xf>
    <xf numFmtId="44" fontId="7" fillId="3" borderId="12" xfId="1" applyFont="1" applyFill="1" applyBorder="1" applyProtection="1">
      <protection locked="0"/>
    </xf>
    <xf numFmtId="14" fontId="7" fillId="3" borderId="30" xfId="0" applyNumberFormat="1" applyFont="1" applyFill="1" applyBorder="1" applyAlignment="1" applyProtection="1">
      <alignment horizontal="left" vertical="center" indent="1"/>
      <protection locked="0"/>
    </xf>
    <xf numFmtId="14" fontId="7" fillId="3" borderId="31" xfId="0" applyNumberFormat="1" applyFont="1" applyFill="1" applyBorder="1" applyAlignment="1" applyProtection="1">
      <alignment horizontal="left" vertical="center" indent="1"/>
      <protection locked="0"/>
    </xf>
    <xf numFmtId="14" fontId="7" fillId="3" borderId="32" xfId="0" applyNumberFormat="1" applyFont="1" applyFill="1" applyBorder="1" applyAlignment="1" applyProtection="1">
      <alignment horizontal="left" vertical="center" indent="1"/>
      <protection locked="0"/>
    </xf>
    <xf numFmtId="0" fontId="7" fillId="3" borderId="13" xfId="0" applyFont="1" applyFill="1" applyBorder="1" applyAlignment="1" applyProtection="1">
      <alignment horizontal="left" vertical="center" indent="1"/>
      <protection locked="0"/>
    </xf>
    <xf numFmtId="44" fontId="7" fillId="3" borderId="14" xfId="1" applyFont="1" applyFill="1" applyBorder="1" applyProtection="1">
      <protection locked="0"/>
    </xf>
    <xf numFmtId="14" fontId="7" fillId="3" borderId="33" xfId="0" applyNumberFormat="1" applyFont="1" applyFill="1" applyBorder="1" applyAlignment="1" applyProtection="1">
      <alignment horizontal="left" vertical="center" indent="1"/>
      <protection locked="0"/>
    </xf>
    <xf numFmtId="14" fontId="7" fillId="3" borderId="34" xfId="0" applyNumberFormat="1" applyFont="1" applyFill="1" applyBorder="1" applyAlignment="1" applyProtection="1">
      <alignment horizontal="left" vertical="center" indent="1"/>
      <protection locked="0"/>
    </xf>
    <xf numFmtId="14" fontId="7" fillId="3" borderId="35" xfId="0" applyNumberFormat="1" applyFont="1" applyFill="1" applyBorder="1" applyAlignment="1" applyProtection="1">
      <alignment horizontal="left" vertical="center" indent="1"/>
      <protection locked="0"/>
    </xf>
    <xf numFmtId="0" fontId="7" fillId="0" borderId="21" xfId="0" applyFont="1" applyBorder="1" applyAlignment="1">
      <alignment horizontal="left" vertical="center" wrapText="1" indent="2"/>
    </xf>
    <xf numFmtId="0" fontId="6" fillId="0" borderId="13" xfId="0" applyFont="1" applyBorder="1" applyAlignment="1" applyProtection="1">
      <alignment horizontal="center" vertical="center"/>
      <protection locked="0"/>
    </xf>
    <xf numFmtId="14" fontId="7" fillId="3" borderId="36" xfId="0" applyNumberFormat="1" applyFont="1" applyFill="1" applyBorder="1" applyAlignment="1" applyProtection="1">
      <alignment horizontal="left" vertical="center" indent="1"/>
      <protection locked="0"/>
    </xf>
    <xf numFmtId="14" fontId="7" fillId="3" borderId="37" xfId="0" applyNumberFormat="1" applyFont="1" applyFill="1" applyBorder="1" applyAlignment="1" applyProtection="1">
      <alignment horizontal="left" vertical="center" indent="1"/>
      <protection locked="0"/>
    </xf>
    <xf numFmtId="14" fontId="7" fillId="3" borderId="38" xfId="0" applyNumberFormat="1" applyFont="1" applyFill="1" applyBorder="1" applyAlignment="1" applyProtection="1">
      <alignment horizontal="left" vertical="center" indent="1"/>
      <protection locked="0"/>
    </xf>
    <xf numFmtId="0" fontId="7" fillId="3" borderId="16" xfId="0" applyFont="1" applyFill="1" applyBorder="1" applyAlignment="1" applyProtection="1">
      <alignment horizontal="left" vertical="center" indent="1"/>
      <protection locked="0"/>
    </xf>
    <xf numFmtId="44" fontId="7" fillId="3" borderId="17" xfId="1" applyFont="1" applyFill="1" applyBorder="1" applyProtection="1">
      <protection locked="0"/>
    </xf>
    <xf numFmtId="0" fontId="7" fillId="0" borderId="0" xfId="0" applyFont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9" fillId="0" borderId="13" xfId="0" applyFont="1" applyBorder="1"/>
    <xf numFmtId="0" fontId="9" fillId="0" borderId="18" xfId="0" applyFont="1" applyBorder="1"/>
    <xf numFmtId="14" fontId="6" fillId="0" borderId="19" xfId="0" applyNumberFormat="1" applyFont="1" applyBorder="1" applyAlignment="1">
      <alignment horizontal="right" vertical="center" indent="1"/>
    </xf>
    <xf numFmtId="44" fontId="6" fillId="4" borderId="4" xfId="1" applyFont="1" applyFill="1" applyBorder="1" applyAlignment="1">
      <alignment horizontal="right" vertical="center" indent="1"/>
    </xf>
    <xf numFmtId="0" fontId="11" fillId="5" borderId="4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9" xfId="0" applyFont="1" applyFill="1" applyBorder="1" applyAlignment="1">
      <alignment horizontal="center" vertical="center" wrapText="1"/>
    </xf>
    <xf numFmtId="14" fontId="6" fillId="11" borderId="51" xfId="0" applyNumberFormat="1" applyFont="1" applyFill="1" applyBorder="1" applyAlignment="1" applyProtection="1">
      <alignment horizontal="left" vertical="top" indent="1"/>
      <protection locked="0"/>
    </xf>
    <xf numFmtId="0" fontId="6" fillId="11" borderId="52" xfId="0" applyFont="1" applyFill="1" applyBorder="1" applyAlignment="1" applyProtection="1">
      <alignment horizontal="left" vertical="top" indent="1"/>
      <protection locked="0"/>
    </xf>
    <xf numFmtId="0" fontId="6" fillId="11" borderId="53" xfId="0" applyFont="1" applyFill="1" applyBorder="1" applyAlignment="1" applyProtection="1">
      <alignment horizontal="left" vertical="top" indent="1"/>
      <protection locked="0"/>
    </xf>
    <xf numFmtId="0" fontId="6" fillId="11" borderId="54" xfId="0" applyFont="1" applyFill="1" applyBorder="1" applyAlignment="1" applyProtection="1">
      <alignment horizontal="left" vertical="top" indent="1"/>
      <protection locked="0"/>
    </xf>
    <xf numFmtId="0" fontId="6" fillId="11" borderId="51" xfId="0" applyFont="1" applyFill="1" applyBorder="1" applyAlignment="1" applyProtection="1">
      <alignment horizontal="left" vertical="top" indent="1"/>
      <protection locked="0"/>
    </xf>
    <xf numFmtId="0" fontId="30" fillId="11" borderId="51" xfId="0" applyFont="1" applyFill="1" applyBorder="1" applyAlignment="1" applyProtection="1">
      <alignment horizontal="left" vertical="top" indent="1"/>
      <protection locked="0"/>
    </xf>
    <xf numFmtId="14" fontId="42" fillId="11" borderId="51" xfId="0" applyNumberFormat="1" applyFont="1" applyFill="1" applyBorder="1" applyAlignment="1" applyProtection="1">
      <alignment vertical="top"/>
      <protection locked="0"/>
    </xf>
    <xf numFmtId="0" fontId="42" fillId="11" borderId="51" xfId="0" applyFont="1" applyFill="1" applyBorder="1" applyAlignment="1" applyProtection="1">
      <alignment vertical="top"/>
      <protection locked="0"/>
    </xf>
    <xf numFmtId="14" fontId="7" fillId="11" borderId="51" xfId="0" applyNumberFormat="1" applyFont="1" applyFill="1" applyBorder="1" applyAlignment="1" applyProtection="1">
      <alignment vertical="top"/>
      <protection locked="0"/>
    </xf>
    <xf numFmtId="0" fontId="7" fillId="11" borderId="51" xfId="0" applyFont="1" applyFill="1" applyBorder="1" applyAlignment="1" applyProtection="1">
      <alignment vertical="top"/>
      <protection locked="0"/>
    </xf>
    <xf numFmtId="44" fontId="6" fillId="4" borderId="51" xfId="1" applyFont="1" applyFill="1" applyBorder="1" applyAlignment="1">
      <alignment horizontal="right" vertical="top"/>
    </xf>
    <xf numFmtId="44" fontId="42" fillId="11" borderId="51" xfId="1" applyFont="1" applyFill="1" applyBorder="1" applyAlignment="1" applyProtection="1">
      <alignment horizontal="right" vertical="top"/>
      <protection locked="0"/>
    </xf>
    <xf numFmtId="44" fontId="7" fillId="11" borderId="51" xfId="1" applyFont="1" applyFill="1" applyBorder="1" applyAlignment="1" applyProtection="1">
      <alignment horizontal="right" vertical="top"/>
      <protection locked="0"/>
    </xf>
    <xf numFmtId="16" fontId="41" fillId="0" borderId="51" xfId="0" applyNumberFormat="1" applyFont="1" applyBorder="1" applyAlignment="1" applyProtection="1">
      <alignment horizontal="left" vertical="top"/>
      <protection locked="0"/>
    </xf>
    <xf numFmtId="0" fontId="41" fillId="0" borderId="51" xfId="0" applyFont="1" applyBorder="1" applyAlignment="1" applyProtection="1">
      <alignment horizontal="left" vertical="top"/>
      <protection locked="0"/>
    </xf>
    <xf numFmtId="0" fontId="9" fillId="0" borderId="51" xfId="0" applyFont="1" applyBorder="1" applyAlignment="1" applyProtection="1">
      <alignment horizontal="left" vertical="top" wrapText="1"/>
      <protection locked="0"/>
    </xf>
    <xf numFmtId="0" fontId="9" fillId="0" borderId="51" xfId="0" applyFont="1" applyBorder="1" applyAlignment="1" applyProtection="1">
      <alignment horizontal="left" vertical="top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ont>
        <color rgb="FFFFFFFF"/>
        <family val="2"/>
      </font>
    </dxf>
    <dxf>
      <fill>
        <patternFill patternType="solid">
          <fgColor rgb="FFFFFFFF"/>
          <bgColor rgb="FFFFFFFF"/>
        </patternFill>
      </fill>
    </dxf>
    <dxf>
      <font>
        <color rgb="FFFFFFFF"/>
        <family val="2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Flast@olin.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0D7A-00D6-4539-8547-ABDB1E184A52}">
  <dimension ref="A1:B26"/>
  <sheetViews>
    <sheetView workbookViewId="0">
      <selection activeCell="J9" sqref="J9"/>
    </sheetView>
  </sheetViews>
  <sheetFormatPr defaultRowHeight="14.4" x14ac:dyDescent="0.3"/>
  <cols>
    <col min="1" max="1" width="8.6640625" style="19" customWidth="1"/>
    <col min="2" max="2" width="120.5546875" style="20" bestFit="1" customWidth="1"/>
  </cols>
  <sheetData>
    <row r="1" spans="1:2" x14ac:dyDescent="0.3">
      <c r="A1" s="53" t="s">
        <v>45</v>
      </c>
      <c r="B1" s="54"/>
    </row>
    <row r="2" spans="1:2" x14ac:dyDescent="0.3">
      <c r="A2" s="55"/>
      <c r="B2" s="56"/>
    </row>
    <row r="3" spans="1:2" ht="15" thickBot="1" x14ac:dyDescent="0.35">
      <c r="A3" s="57"/>
      <c r="B3" s="58"/>
    </row>
    <row r="4" spans="1:2" ht="30" customHeight="1" x14ac:dyDescent="0.3">
      <c r="A4" s="22">
        <v>1</v>
      </c>
      <c r="B4" s="23" t="s">
        <v>46</v>
      </c>
    </row>
    <row r="5" spans="1:2" s="21" customFormat="1" ht="30" customHeight="1" x14ac:dyDescent="0.3">
      <c r="A5" s="24"/>
      <c r="B5" s="25" t="s">
        <v>57</v>
      </c>
    </row>
    <row r="6" spans="1:2" s="21" customFormat="1" ht="30" customHeight="1" x14ac:dyDescent="0.3">
      <c r="A6" s="22">
        <f>A4+1</f>
        <v>2</v>
      </c>
      <c r="B6" s="23" t="s">
        <v>47</v>
      </c>
    </row>
    <row r="7" spans="1:2" s="21" customFormat="1" ht="30" customHeight="1" x14ac:dyDescent="0.3">
      <c r="A7" s="24"/>
      <c r="B7" s="25" t="s">
        <v>58</v>
      </c>
    </row>
    <row r="8" spans="1:2" s="21" customFormat="1" ht="30" customHeight="1" x14ac:dyDescent="0.3">
      <c r="A8" s="22">
        <f>A6+1</f>
        <v>3</v>
      </c>
      <c r="B8" s="23" t="s">
        <v>48</v>
      </c>
    </row>
    <row r="9" spans="1:2" s="21" customFormat="1" ht="30" customHeight="1" x14ac:dyDescent="0.3">
      <c r="A9" s="24"/>
      <c r="B9" s="25" t="s">
        <v>59</v>
      </c>
    </row>
    <row r="10" spans="1:2" s="21" customFormat="1" ht="30" customHeight="1" x14ac:dyDescent="0.3">
      <c r="A10" s="22">
        <f>A8+1</f>
        <v>4</v>
      </c>
      <c r="B10" s="23" t="s">
        <v>49</v>
      </c>
    </row>
    <row r="11" spans="1:2" s="21" customFormat="1" ht="30" customHeight="1" x14ac:dyDescent="0.3">
      <c r="A11" s="24"/>
      <c r="B11" s="25" t="s">
        <v>60</v>
      </c>
    </row>
    <row r="12" spans="1:2" s="21" customFormat="1" ht="30" customHeight="1" x14ac:dyDescent="0.3">
      <c r="A12" s="22"/>
      <c r="B12" s="26" t="s">
        <v>61</v>
      </c>
    </row>
    <row r="13" spans="1:2" s="21" customFormat="1" ht="30" customHeight="1" x14ac:dyDescent="0.3">
      <c r="A13" s="22"/>
      <c r="B13" s="26" t="s">
        <v>62</v>
      </c>
    </row>
    <row r="14" spans="1:2" s="21" customFormat="1" ht="30" customHeight="1" x14ac:dyDescent="0.3">
      <c r="A14" s="24"/>
      <c r="B14" s="27" t="s">
        <v>50</v>
      </c>
    </row>
    <row r="15" spans="1:2" s="21" customFormat="1" ht="30" customHeight="1" x14ac:dyDescent="0.3">
      <c r="A15" s="22">
        <f>A10+1</f>
        <v>5</v>
      </c>
      <c r="B15" s="23" t="s">
        <v>51</v>
      </c>
    </row>
    <row r="16" spans="1:2" s="21" customFormat="1" ht="30" customHeight="1" x14ac:dyDescent="0.3">
      <c r="A16" s="24"/>
      <c r="B16" s="25" t="s">
        <v>63</v>
      </c>
    </row>
    <row r="17" spans="1:2" s="21" customFormat="1" ht="30" customHeight="1" x14ac:dyDescent="0.3">
      <c r="A17" s="22">
        <f>A15+1</f>
        <v>6</v>
      </c>
      <c r="B17" s="23" t="s">
        <v>52</v>
      </c>
    </row>
    <row r="18" spans="1:2" s="21" customFormat="1" ht="30" customHeight="1" x14ac:dyDescent="0.3">
      <c r="A18" s="24"/>
      <c r="B18" s="25" t="s">
        <v>64</v>
      </c>
    </row>
    <row r="19" spans="1:2" s="21" customFormat="1" ht="30" customHeight="1" x14ac:dyDescent="0.3">
      <c r="A19" s="22">
        <f>A17+1</f>
        <v>7</v>
      </c>
      <c r="B19" s="23" t="s">
        <v>53</v>
      </c>
    </row>
    <row r="20" spans="1:2" s="21" customFormat="1" ht="30" customHeight="1" x14ac:dyDescent="0.3">
      <c r="A20" s="24"/>
      <c r="B20" s="25" t="s">
        <v>65</v>
      </c>
    </row>
    <row r="21" spans="1:2" s="21" customFormat="1" ht="30" customHeight="1" x14ac:dyDescent="0.3">
      <c r="A21" s="22">
        <f>A19+1</f>
        <v>8</v>
      </c>
      <c r="B21" s="23" t="s">
        <v>54</v>
      </c>
    </row>
    <row r="22" spans="1:2" s="21" customFormat="1" ht="30" customHeight="1" x14ac:dyDescent="0.3">
      <c r="A22" s="24"/>
      <c r="B22" s="25" t="s">
        <v>66</v>
      </c>
    </row>
    <row r="23" spans="1:2" s="21" customFormat="1" ht="30" customHeight="1" x14ac:dyDescent="0.3">
      <c r="A23" s="24"/>
      <c r="B23" s="28" t="s">
        <v>55</v>
      </c>
    </row>
    <row r="24" spans="1:2" s="21" customFormat="1" ht="30" customHeight="1" x14ac:dyDescent="0.3">
      <c r="A24" s="59" t="s">
        <v>56</v>
      </c>
      <c r="B24" s="60"/>
    </row>
    <row r="25" spans="1:2" s="21" customFormat="1" ht="30" customHeight="1" x14ac:dyDescent="0.3">
      <c r="A25" s="59"/>
      <c r="B25" s="60"/>
    </row>
    <row r="26" spans="1:2" ht="15.6" thickBot="1" x14ac:dyDescent="0.35">
      <c r="A26" s="29"/>
      <c r="B26" s="30"/>
    </row>
  </sheetData>
  <mergeCells count="2">
    <mergeCell ref="A1:B3"/>
    <mergeCell ref="A24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E5D8-CB10-4153-A81D-BDD56AC59B2A}">
  <sheetPr>
    <pageSetUpPr fitToPage="1"/>
  </sheetPr>
  <dimension ref="A1:O45"/>
  <sheetViews>
    <sheetView tabSelected="1" topLeftCell="A24" zoomScale="106" zoomScaleNormal="106" workbookViewId="0">
      <selection activeCell="B36" sqref="B36:E36"/>
    </sheetView>
  </sheetViews>
  <sheetFormatPr defaultRowHeight="15.6" x14ac:dyDescent="0.3"/>
  <cols>
    <col min="1" max="1" width="25" style="4" customWidth="1"/>
    <col min="2" max="4" width="8.6640625" style="4" customWidth="1"/>
    <col min="5" max="6" width="6.21875" style="4" customWidth="1"/>
    <col min="7" max="7" width="23.109375" style="4" customWidth="1"/>
    <col min="8" max="8" width="9.33203125" style="4" customWidth="1"/>
    <col min="9" max="9" width="16.6640625" style="4" customWidth="1"/>
    <col min="10" max="14" width="8.6640625" style="4" customWidth="1"/>
    <col min="15" max="15" width="11.33203125" style="4" customWidth="1"/>
  </cols>
  <sheetData>
    <row r="1" spans="1:15" ht="21" customHeight="1" x14ac:dyDescent="0.3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51"/>
      <c r="K1" s="51"/>
      <c r="L1" s="52" t="s">
        <v>80</v>
      </c>
      <c r="M1" s="52"/>
      <c r="N1" s="52"/>
      <c r="O1" s="14"/>
    </row>
    <row r="2" spans="1:15" ht="19.2" customHeight="1" thickBot="1" x14ac:dyDescent="0.35">
      <c r="A2" s="89" t="s">
        <v>79</v>
      </c>
      <c r="B2" s="89"/>
      <c r="C2" s="89"/>
      <c r="D2" s="89"/>
      <c r="E2" s="89"/>
      <c r="F2" s="89"/>
      <c r="G2" s="89"/>
      <c r="H2" s="89"/>
      <c r="I2" s="89"/>
      <c r="J2" s="18"/>
      <c r="K2" s="15"/>
      <c r="L2" s="15"/>
      <c r="M2" s="15"/>
      <c r="N2" s="15"/>
      <c r="O2" s="14"/>
    </row>
    <row r="3" spans="1:15" ht="76.8" customHeight="1" x14ac:dyDescent="0.3">
      <c r="A3" s="90" t="s">
        <v>75</v>
      </c>
      <c r="B3" s="90"/>
      <c r="C3" s="90"/>
      <c r="D3" s="90"/>
      <c r="E3" s="90"/>
      <c r="F3" s="90"/>
      <c r="G3" s="90"/>
      <c r="H3" s="90"/>
      <c r="I3" s="90"/>
      <c r="K3" s="91" t="s">
        <v>28</v>
      </c>
      <c r="L3" s="92"/>
      <c r="M3" s="92"/>
      <c r="N3" s="92"/>
      <c r="O3" s="93"/>
    </row>
    <row r="4" spans="1:15" ht="7.8" customHeight="1" x14ac:dyDescent="0.3">
      <c r="A4" s="40"/>
      <c r="B4" s="40"/>
      <c r="C4" s="40"/>
      <c r="D4" s="40"/>
      <c r="E4" s="40"/>
      <c r="F4" s="40"/>
      <c r="G4" s="40"/>
      <c r="H4" s="40"/>
      <c r="I4" s="40"/>
      <c r="K4" s="94"/>
      <c r="L4" s="95"/>
      <c r="M4" s="95"/>
      <c r="N4" s="95"/>
      <c r="O4" s="96"/>
    </row>
    <row r="5" spans="1:15" ht="25.8" customHeight="1" x14ac:dyDescent="0.3">
      <c r="A5" s="33" t="s">
        <v>1</v>
      </c>
      <c r="B5" s="169"/>
      <c r="C5" s="169"/>
      <c r="D5" s="169"/>
      <c r="G5" s="33" t="s">
        <v>2</v>
      </c>
      <c r="H5" s="174"/>
      <c r="I5" s="174"/>
      <c r="K5" s="94"/>
      <c r="L5" s="95"/>
      <c r="M5" s="95"/>
      <c r="N5" s="95"/>
      <c r="O5" s="96"/>
    </row>
    <row r="6" spans="1:15" ht="7.2" customHeight="1" x14ac:dyDescent="0.3">
      <c r="A6" s="33"/>
      <c r="B6" s="5"/>
      <c r="C6" s="5"/>
      <c r="D6" s="5"/>
      <c r="G6" s="34"/>
      <c r="H6" s="31"/>
      <c r="I6" s="31"/>
      <c r="K6" s="94"/>
      <c r="L6" s="95"/>
      <c r="M6" s="95"/>
      <c r="N6" s="95"/>
      <c r="O6" s="96"/>
    </row>
    <row r="7" spans="1:15" ht="25.8" customHeight="1" x14ac:dyDescent="0.3">
      <c r="A7" s="33" t="s">
        <v>3</v>
      </c>
      <c r="B7" s="170"/>
      <c r="C7" s="171"/>
      <c r="D7" s="172"/>
      <c r="G7" s="35" t="s">
        <v>72</v>
      </c>
      <c r="H7" s="174"/>
      <c r="I7" s="174"/>
      <c r="K7" s="94"/>
      <c r="L7" s="95"/>
      <c r="M7" s="95"/>
      <c r="N7" s="95"/>
      <c r="O7" s="96"/>
    </row>
    <row r="8" spans="1:15" ht="7.2" customHeight="1" thickBot="1" x14ac:dyDescent="0.35">
      <c r="A8" s="33"/>
      <c r="B8" s="5"/>
      <c r="C8" s="5"/>
      <c r="D8" s="5"/>
      <c r="G8" s="34"/>
      <c r="H8" s="31"/>
      <c r="I8" s="31"/>
      <c r="K8" s="97"/>
      <c r="L8" s="98"/>
      <c r="M8" s="98"/>
      <c r="N8" s="98"/>
      <c r="O8" s="99"/>
    </row>
    <row r="9" spans="1:15" ht="25.8" customHeight="1" x14ac:dyDescent="0.3">
      <c r="A9" s="33" t="s">
        <v>6</v>
      </c>
      <c r="B9" s="173"/>
      <c r="C9" s="173"/>
      <c r="D9" s="173"/>
      <c r="G9" s="87" t="s">
        <v>73</v>
      </c>
      <c r="H9" s="174"/>
      <c r="I9" s="174"/>
      <c r="K9" s="14"/>
      <c r="L9" s="16"/>
      <c r="M9" s="16"/>
      <c r="N9" s="16"/>
      <c r="O9" s="16"/>
    </row>
    <row r="10" spans="1:15" s="21" customFormat="1" ht="6.6" customHeight="1" thickBot="1" x14ac:dyDescent="0.35">
      <c r="A10" s="41"/>
      <c r="B10" s="45"/>
      <c r="C10" s="45"/>
      <c r="D10" s="45"/>
      <c r="E10" s="42"/>
      <c r="F10" s="42"/>
      <c r="G10" s="87"/>
      <c r="H10" s="46"/>
      <c r="I10" s="46"/>
      <c r="J10" s="42"/>
      <c r="K10" s="43"/>
      <c r="L10" s="44"/>
      <c r="M10" s="44"/>
      <c r="N10" s="44"/>
      <c r="O10" s="44"/>
    </row>
    <row r="11" spans="1:15" ht="25.8" customHeight="1" x14ac:dyDescent="0.3">
      <c r="A11" s="33" t="s">
        <v>9</v>
      </c>
      <c r="B11" s="173"/>
      <c r="C11" s="173"/>
      <c r="D11" s="173"/>
      <c r="G11" s="87"/>
      <c r="H11" s="174"/>
      <c r="I11" s="174"/>
      <c r="K11" s="73" t="s">
        <v>29</v>
      </c>
      <c r="L11" s="74"/>
      <c r="M11" s="74"/>
      <c r="N11" s="74"/>
      <c r="O11" s="75"/>
    </row>
    <row r="12" spans="1:15" ht="7.8" customHeight="1" x14ac:dyDescent="0.3">
      <c r="A12" s="33"/>
      <c r="B12" s="5"/>
      <c r="C12" s="5"/>
      <c r="D12" s="5"/>
      <c r="G12" s="31"/>
      <c r="H12" s="32"/>
      <c r="I12" s="32"/>
      <c r="K12" s="76"/>
      <c r="L12" s="77"/>
      <c r="M12" s="77"/>
      <c r="N12" s="77"/>
      <c r="O12" s="78"/>
    </row>
    <row r="13" spans="1:15" ht="25.8" customHeight="1" x14ac:dyDescent="0.3">
      <c r="A13" s="35" t="s">
        <v>11</v>
      </c>
      <c r="B13" s="173"/>
      <c r="C13" s="173"/>
      <c r="D13" s="173"/>
      <c r="G13" s="62" t="s">
        <v>78</v>
      </c>
      <c r="H13" s="50" t="s">
        <v>14</v>
      </c>
      <c r="I13" s="49" t="b">
        <v>0</v>
      </c>
      <c r="K13" s="76"/>
      <c r="L13" s="77"/>
      <c r="M13" s="77"/>
      <c r="N13" s="77"/>
      <c r="O13" s="78"/>
    </row>
    <row r="14" spans="1:15" ht="26.4" customHeight="1" x14ac:dyDescent="0.3">
      <c r="A14" s="47"/>
      <c r="B14" s="45"/>
      <c r="C14" s="45"/>
      <c r="D14" s="45"/>
      <c r="G14" s="62"/>
      <c r="H14" s="50" t="s">
        <v>71</v>
      </c>
      <c r="I14" s="49" t="b">
        <v>0</v>
      </c>
      <c r="K14" s="76"/>
      <c r="L14" s="77"/>
      <c r="M14" s="77"/>
      <c r="N14" s="77"/>
      <c r="O14" s="78"/>
    </row>
    <row r="15" spans="1:15" ht="38.4" customHeight="1" x14ac:dyDescent="0.3">
      <c r="A15" s="82" t="s">
        <v>74</v>
      </c>
      <c r="B15" s="82"/>
      <c r="C15" s="82"/>
      <c r="D15" s="82"/>
      <c r="E15" s="82"/>
      <c r="F15" s="82"/>
      <c r="G15" s="82"/>
      <c r="H15" s="82"/>
      <c r="I15" s="83"/>
      <c r="K15" s="76"/>
      <c r="L15" s="77"/>
      <c r="M15" s="77"/>
      <c r="N15" s="77"/>
      <c r="O15" s="78"/>
    </row>
    <row r="16" spans="1:15" ht="34.200000000000003" customHeight="1" thickBot="1" x14ac:dyDescent="0.35">
      <c r="A16" s="84" t="s">
        <v>67</v>
      </c>
      <c r="B16" s="84"/>
      <c r="C16" s="84"/>
      <c r="D16" s="84"/>
      <c r="E16" s="84"/>
      <c r="F16" s="84"/>
      <c r="G16" s="84"/>
      <c r="H16" s="84"/>
      <c r="I16" s="84"/>
      <c r="K16" s="79"/>
      <c r="L16" s="80"/>
      <c r="M16" s="80"/>
      <c r="N16" s="80"/>
      <c r="O16" s="81"/>
    </row>
    <row r="17" spans="1:15" ht="12" customHeight="1" thickBot="1" x14ac:dyDescent="0.35">
      <c r="A17" s="85" t="s">
        <v>15</v>
      </c>
      <c r="B17" s="85" t="s">
        <v>16</v>
      </c>
      <c r="C17" s="85"/>
      <c r="D17" s="86" t="s">
        <v>76</v>
      </c>
      <c r="E17" s="86"/>
      <c r="F17" s="86"/>
      <c r="G17" s="86"/>
      <c r="H17" s="85" t="s">
        <v>18</v>
      </c>
      <c r="I17" s="85"/>
      <c r="K17" s="72" t="s">
        <v>68</v>
      </c>
      <c r="L17" s="72"/>
      <c r="M17" s="72"/>
      <c r="N17" s="72"/>
      <c r="O17" s="72"/>
    </row>
    <row r="18" spans="1:15" ht="12.6" customHeight="1" thickBot="1" x14ac:dyDescent="0.35">
      <c r="A18" s="85"/>
      <c r="B18" s="85"/>
      <c r="C18" s="85"/>
      <c r="D18" s="86"/>
      <c r="E18" s="86"/>
      <c r="F18" s="86"/>
      <c r="G18" s="86"/>
      <c r="H18" s="85"/>
      <c r="I18" s="85"/>
      <c r="K18" s="72"/>
      <c r="L18" s="72"/>
      <c r="M18" s="72"/>
      <c r="N18" s="72"/>
      <c r="O18" s="72"/>
    </row>
    <row r="19" spans="1:15" ht="16.8" customHeight="1" thickBot="1" x14ac:dyDescent="0.35">
      <c r="A19" s="71" t="s">
        <v>69</v>
      </c>
      <c r="B19" s="71"/>
      <c r="C19" s="71"/>
      <c r="D19" s="71"/>
      <c r="E19" s="71"/>
      <c r="F19" s="71"/>
      <c r="G19" s="71"/>
      <c r="H19" s="71"/>
      <c r="I19" s="71"/>
      <c r="K19" s="72" t="s">
        <v>30</v>
      </c>
      <c r="L19" s="72"/>
      <c r="M19" s="72"/>
      <c r="N19" s="72"/>
      <c r="O19" s="72"/>
    </row>
    <row r="20" spans="1:15" x14ac:dyDescent="0.3">
      <c r="A20" s="175"/>
      <c r="B20" s="176"/>
      <c r="C20" s="176"/>
      <c r="D20" s="176"/>
      <c r="E20" s="176"/>
      <c r="F20" s="176"/>
      <c r="G20" s="176"/>
      <c r="H20" s="180"/>
      <c r="I20" s="180"/>
      <c r="K20" s="69" t="s">
        <v>27</v>
      </c>
      <c r="L20" s="69"/>
      <c r="M20" s="69"/>
      <c r="N20" s="70"/>
      <c r="O20" s="70"/>
    </row>
    <row r="21" spans="1:15" x14ac:dyDescent="0.3">
      <c r="A21" s="175"/>
      <c r="B21" s="176"/>
      <c r="C21" s="176"/>
      <c r="D21" s="176"/>
      <c r="E21" s="176"/>
      <c r="F21" s="176"/>
      <c r="G21" s="176"/>
      <c r="H21" s="180"/>
      <c r="I21" s="180"/>
      <c r="K21" s="67" t="s">
        <v>33</v>
      </c>
      <c r="L21" s="67"/>
      <c r="M21" s="67"/>
      <c r="N21" s="68" t="s">
        <v>34</v>
      </c>
      <c r="O21" s="68"/>
    </row>
    <row r="22" spans="1:15" ht="16.2" thickBot="1" x14ac:dyDescent="0.35">
      <c r="A22" s="175"/>
      <c r="B22" s="176"/>
      <c r="C22" s="176"/>
      <c r="D22" s="176"/>
      <c r="E22" s="176"/>
      <c r="F22" s="176"/>
      <c r="G22" s="176"/>
      <c r="H22" s="180"/>
      <c r="I22" s="180"/>
      <c r="K22" s="65" t="s">
        <v>70</v>
      </c>
      <c r="L22" s="65"/>
      <c r="M22" s="65"/>
      <c r="N22" s="66">
        <f>N20*0.7</f>
        <v>0</v>
      </c>
      <c r="O22" s="66"/>
    </row>
    <row r="23" spans="1:15" x14ac:dyDescent="0.3">
      <c r="A23" s="175"/>
      <c r="B23" s="176"/>
      <c r="C23" s="176"/>
      <c r="D23" s="176"/>
      <c r="E23" s="176"/>
      <c r="F23" s="176"/>
      <c r="G23" s="176"/>
      <c r="H23" s="180"/>
      <c r="I23" s="180"/>
    </row>
    <row r="24" spans="1:15" x14ac:dyDescent="0.3">
      <c r="A24" s="175"/>
      <c r="B24" s="176"/>
      <c r="C24" s="176"/>
      <c r="D24" s="176"/>
      <c r="E24" s="176"/>
      <c r="F24" s="176"/>
      <c r="G24" s="176"/>
      <c r="H24" s="180"/>
      <c r="I24" s="180"/>
    </row>
    <row r="25" spans="1:15" x14ac:dyDescent="0.3">
      <c r="A25" s="177"/>
      <c r="B25" s="178"/>
      <c r="C25" s="178"/>
      <c r="D25" s="178"/>
      <c r="E25" s="178"/>
      <c r="F25" s="178"/>
      <c r="G25" s="178"/>
      <c r="H25" s="181"/>
      <c r="I25" s="181"/>
    </row>
    <row r="26" spans="1:15" x14ac:dyDescent="0.3">
      <c r="A26" s="177"/>
      <c r="B26" s="178"/>
      <c r="C26" s="178"/>
      <c r="D26" s="178"/>
      <c r="E26" s="178"/>
      <c r="F26" s="178"/>
      <c r="G26" s="178"/>
      <c r="H26" s="181"/>
      <c r="I26" s="181"/>
    </row>
    <row r="27" spans="1:15" x14ac:dyDescent="0.3">
      <c r="A27" s="177"/>
      <c r="B27" s="178"/>
      <c r="C27" s="178"/>
      <c r="D27" s="178"/>
      <c r="E27" s="178"/>
      <c r="F27" s="178"/>
      <c r="G27" s="178"/>
      <c r="H27" s="181"/>
      <c r="I27" s="181"/>
    </row>
    <row r="28" spans="1:15" x14ac:dyDescent="0.3">
      <c r="A28" s="177"/>
      <c r="B28" s="178"/>
      <c r="C28" s="178"/>
      <c r="D28" s="178"/>
      <c r="E28" s="178"/>
      <c r="F28" s="178"/>
      <c r="G28" s="178"/>
      <c r="H28" s="181"/>
      <c r="I28" s="181"/>
    </row>
    <row r="29" spans="1:15" x14ac:dyDescent="0.3">
      <c r="A29" s="177"/>
      <c r="B29" s="178"/>
      <c r="C29" s="178"/>
      <c r="D29" s="178"/>
      <c r="E29" s="178"/>
      <c r="F29" s="178"/>
      <c r="G29" s="178"/>
      <c r="H29" s="181"/>
      <c r="I29" s="181"/>
    </row>
    <row r="30" spans="1:15" ht="18" x14ac:dyDescent="0.3">
      <c r="A30" s="61"/>
      <c r="B30" s="61"/>
      <c r="C30" s="61"/>
      <c r="D30" s="61"/>
      <c r="E30" s="61"/>
      <c r="F30" s="61"/>
      <c r="G30" s="61"/>
      <c r="H30" s="179">
        <f>SUM(H20:I29)</f>
        <v>0</v>
      </c>
      <c r="I30" s="179"/>
      <c r="L30" s="14"/>
      <c r="M30" s="14"/>
      <c r="N30" s="14"/>
      <c r="O30" s="14"/>
    </row>
    <row r="31" spans="1:15" ht="9" customHeight="1" x14ac:dyDescent="0.3">
      <c r="L31" s="14"/>
      <c r="M31" s="14"/>
      <c r="N31" s="14"/>
      <c r="O31" s="14"/>
    </row>
    <row r="32" spans="1:15" ht="18.600000000000001" customHeight="1" x14ac:dyDescent="0.3">
      <c r="A32" s="63" t="s">
        <v>77</v>
      </c>
      <c r="B32" s="63"/>
      <c r="C32" s="63"/>
      <c r="D32" s="63"/>
      <c r="E32" s="63"/>
      <c r="F32" s="63"/>
      <c r="G32" s="63"/>
      <c r="H32" s="63"/>
      <c r="I32" s="63"/>
      <c r="L32" s="14"/>
      <c r="M32" s="14"/>
      <c r="N32" s="14"/>
      <c r="O32" s="14"/>
    </row>
    <row r="33" spans="1:15" ht="10.8" customHeight="1" x14ac:dyDescent="0.3">
      <c r="L33" s="14"/>
      <c r="M33" s="14"/>
      <c r="N33" s="14"/>
      <c r="O33" s="14"/>
    </row>
    <row r="34" spans="1:15" ht="13.8" customHeight="1" x14ac:dyDescent="0.3">
      <c r="A34" s="64" t="s">
        <v>22</v>
      </c>
      <c r="B34" s="64"/>
      <c r="C34" s="64"/>
      <c r="D34" s="64"/>
      <c r="E34" s="64"/>
      <c r="F34" s="64"/>
      <c r="G34" s="64"/>
      <c r="H34" s="64"/>
      <c r="I34" s="64"/>
      <c r="L34" s="14"/>
      <c r="M34" s="14"/>
      <c r="N34" s="14"/>
      <c r="O34" s="14"/>
    </row>
    <row r="35" spans="1:15" ht="9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L35" s="14"/>
      <c r="M35" s="14"/>
      <c r="N35" s="14"/>
      <c r="O35" s="14"/>
    </row>
    <row r="36" spans="1:15" ht="20.399999999999999" customHeight="1" x14ac:dyDescent="0.3">
      <c r="A36" s="36" t="s">
        <v>23</v>
      </c>
      <c r="B36" s="182"/>
      <c r="C36" s="183"/>
      <c r="D36" s="183"/>
      <c r="E36" s="183"/>
      <c r="F36" s="48"/>
      <c r="G36" s="36" t="s">
        <v>81</v>
      </c>
      <c r="H36" s="184"/>
      <c r="I36" s="184"/>
      <c r="K36" s="17"/>
      <c r="L36" s="14"/>
      <c r="M36" s="14"/>
      <c r="N36" s="14"/>
      <c r="O36" s="14"/>
    </row>
    <row r="37" spans="1:15" ht="12" customHeight="1" x14ac:dyDescent="0.3">
      <c r="A37" s="37"/>
      <c r="B37" s="37"/>
      <c r="C37" s="37"/>
      <c r="D37" s="37"/>
      <c r="E37" s="37"/>
      <c r="F37" s="37"/>
      <c r="G37" s="37"/>
      <c r="H37" s="37"/>
      <c r="I37" s="37"/>
      <c r="L37" s="14"/>
      <c r="M37" s="14"/>
      <c r="N37" s="14"/>
      <c r="O37" s="14"/>
    </row>
    <row r="38" spans="1:15" ht="20.399999999999999" customHeight="1" x14ac:dyDescent="0.3">
      <c r="A38" s="38" t="s">
        <v>25</v>
      </c>
      <c r="B38" s="185"/>
      <c r="C38" s="185"/>
      <c r="D38" s="185"/>
      <c r="E38" s="185"/>
      <c r="F38" s="185"/>
      <c r="G38" s="39" t="s">
        <v>26</v>
      </c>
      <c r="H38" s="185"/>
      <c r="I38" s="185"/>
      <c r="L38" s="14"/>
      <c r="M38" s="14"/>
      <c r="N38" s="14"/>
      <c r="O38" s="14"/>
    </row>
    <row r="39" spans="1:15" x14ac:dyDescent="0.3">
      <c r="G39" s="61"/>
      <c r="H39" s="61"/>
      <c r="I39" s="61"/>
      <c r="L39" s="14"/>
      <c r="M39" s="14"/>
      <c r="N39" s="14"/>
      <c r="O39" s="14"/>
    </row>
    <row r="40" spans="1:15" x14ac:dyDescent="0.3">
      <c r="L40" s="14"/>
      <c r="M40" s="14"/>
      <c r="N40" s="14"/>
      <c r="O40" s="14"/>
    </row>
    <row r="41" spans="1:15" x14ac:dyDescent="0.3">
      <c r="L41" s="14"/>
      <c r="M41" s="14"/>
      <c r="N41" s="14"/>
      <c r="O41" s="14"/>
    </row>
    <row r="42" spans="1:15" x14ac:dyDescent="0.3">
      <c r="L42" s="14"/>
      <c r="M42" s="14"/>
      <c r="N42" s="14"/>
      <c r="O42" s="14"/>
    </row>
    <row r="43" spans="1:15" x14ac:dyDescent="0.3">
      <c r="L43" s="14"/>
      <c r="M43" s="14"/>
      <c r="N43" s="14"/>
      <c r="O43" s="14"/>
    </row>
    <row r="44" spans="1:15" x14ac:dyDescent="0.3">
      <c r="L44" s="14"/>
      <c r="M44" s="14"/>
      <c r="N44" s="14"/>
      <c r="O44" s="14"/>
    </row>
    <row r="45" spans="1:15" x14ac:dyDescent="0.3">
      <c r="L45" s="14"/>
      <c r="M45" s="14"/>
      <c r="N45" s="14"/>
      <c r="O45" s="14"/>
    </row>
  </sheetData>
  <sheetProtection sheet="1" objects="1" scenarios="1" selectLockedCells="1" autoFilter="0"/>
  <mergeCells count="70">
    <mergeCell ref="K3:O8"/>
    <mergeCell ref="B5:D5"/>
    <mergeCell ref="H5:I5"/>
    <mergeCell ref="B7:D7"/>
    <mergeCell ref="H7:I7"/>
    <mergeCell ref="B9:D9"/>
    <mergeCell ref="G9:G11"/>
    <mergeCell ref="B11:D11"/>
    <mergeCell ref="A1:I1"/>
    <mergeCell ref="A2:I2"/>
    <mergeCell ref="A3:I3"/>
    <mergeCell ref="H9:I9"/>
    <mergeCell ref="A19:I19"/>
    <mergeCell ref="K19:O19"/>
    <mergeCell ref="K11:O16"/>
    <mergeCell ref="B13:D13"/>
    <mergeCell ref="A15:I15"/>
    <mergeCell ref="A16:I16"/>
    <mergeCell ref="A17:A18"/>
    <mergeCell ref="B17:C18"/>
    <mergeCell ref="D17:G18"/>
    <mergeCell ref="H17:I18"/>
    <mergeCell ref="K17:O18"/>
    <mergeCell ref="B20:C20"/>
    <mergeCell ref="D20:G20"/>
    <mergeCell ref="H20:I20"/>
    <mergeCell ref="K20:M20"/>
    <mergeCell ref="N20:O20"/>
    <mergeCell ref="B21:C21"/>
    <mergeCell ref="D21:G21"/>
    <mergeCell ref="H21:I21"/>
    <mergeCell ref="K21:M21"/>
    <mergeCell ref="N21:O21"/>
    <mergeCell ref="B22:C22"/>
    <mergeCell ref="D22:G22"/>
    <mergeCell ref="H22:I22"/>
    <mergeCell ref="K22:M22"/>
    <mergeCell ref="N22:O22"/>
    <mergeCell ref="H36:I36"/>
    <mergeCell ref="H38:I38"/>
    <mergeCell ref="G39:I39"/>
    <mergeCell ref="G13:G14"/>
    <mergeCell ref="H24:I24"/>
    <mergeCell ref="H23:I23"/>
    <mergeCell ref="H26:I26"/>
    <mergeCell ref="H25:I25"/>
    <mergeCell ref="H28:I28"/>
    <mergeCell ref="A32:I32"/>
    <mergeCell ref="A34:I34"/>
    <mergeCell ref="B36:E36"/>
    <mergeCell ref="B29:C29"/>
    <mergeCell ref="D29:G29"/>
    <mergeCell ref="A30:G30"/>
    <mergeCell ref="B38:F38"/>
    <mergeCell ref="H27:I27"/>
    <mergeCell ref="H30:I30"/>
    <mergeCell ref="H29:I29"/>
    <mergeCell ref="H11:I11"/>
    <mergeCell ref="B27:C27"/>
    <mergeCell ref="D27:G27"/>
    <mergeCell ref="B28:C28"/>
    <mergeCell ref="D28:G28"/>
    <mergeCell ref="B25:C25"/>
    <mergeCell ref="D25:G25"/>
    <mergeCell ref="B26:C26"/>
    <mergeCell ref="D26:G26"/>
    <mergeCell ref="B23:C23"/>
    <mergeCell ref="D23:G23"/>
    <mergeCell ref="B24:C24"/>
    <mergeCell ref="D24:G24"/>
  </mergeCells>
  <conditionalFormatting sqref="H30">
    <cfRule type="cellIs" dxfId="3" priority="1" stopIfTrue="1" operator="equal">
      <formula>0</formula>
    </cfRule>
    <cfRule type="cellIs" dxfId="2" priority="2" stopIfTrue="1" operator="equal">
      <formula>0</formula>
    </cfRule>
  </conditionalFormatting>
  <dataValidations count="1">
    <dataValidation type="textLength" allowBlank="1" showInputMessage="1" showErrorMessage="1" error="Please enter no more than 40 characters. " prompt="Reporting is limited to 40 characters." sqref="H36:I36" xr:uid="{EB197C96-4AA5-432C-85E7-8988B977FE74}">
      <formula1>0</formula1>
      <formula2>40</formula2>
    </dataValidation>
  </dataValidations>
  <printOptions horizontalCentered="1" verticalCentered="1"/>
  <pageMargins left="0.25" right="0.25" top="0.25" bottom="0.25" header="0.3" footer="0.3"/>
  <pageSetup scale="9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099A-DD75-48F5-B4B2-8343EECF5E61}">
  <dimension ref="A1:W66"/>
  <sheetViews>
    <sheetView topLeftCell="A4" workbookViewId="0">
      <selection activeCell="Z16" sqref="Z16"/>
    </sheetView>
  </sheetViews>
  <sheetFormatPr defaultRowHeight="15.6" x14ac:dyDescent="0.3"/>
  <cols>
    <col min="19" max="19" width="11.21875" style="4" customWidth="1"/>
    <col min="20" max="20" width="8.6640625" style="4" customWidth="1"/>
    <col min="21" max="21" width="19.44140625" style="4" customWidth="1"/>
    <col min="22" max="22" width="8.6640625" style="4" customWidth="1"/>
    <col min="23" max="23" width="6.6640625" style="4" customWidth="1"/>
  </cols>
  <sheetData>
    <row r="1" spans="1:23" ht="25.8" x14ac:dyDescent="0.3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S1" s="18"/>
      <c r="T1" s="15"/>
      <c r="U1" s="15"/>
      <c r="V1" s="15"/>
      <c r="W1" s="14"/>
    </row>
    <row r="2" spans="1:23" ht="25.8" x14ac:dyDescent="0.3">
      <c r="A2" s="104" t="s">
        <v>31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S2" s="15"/>
      <c r="T2" s="15"/>
      <c r="U2" s="15"/>
      <c r="V2" s="15"/>
      <c r="W2" s="14"/>
    </row>
    <row r="3" spans="1:23" ht="26.4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15"/>
      <c r="T3" s="15"/>
      <c r="U3" s="15"/>
      <c r="V3" s="15"/>
      <c r="W3" s="14"/>
    </row>
    <row r="4" spans="1:23" ht="129" customHeight="1" thickBot="1" x14ac:dyDescent="0.35">
      <c r="A4" s="105" t="s">
        <v>32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/>
      <c r="S4" s="158" t="s">
        <v>28</v>
      </c>
      <c r="T4" s="159"/>
      <c r="U4" s="159"/>
      <c r="V4" s="159"/>
      <c r="W4" s="160"/>
    </row>
    <row r="5" spans="1:23" ht="21.6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s="161"/>
      <c r="T5" s="162"/>
      <c r="U5" s="162"/>
      <c r="V5" s="162"/>
      <c r="W5" s="163"/>
    </row>
    <row r="6" spans="1:23" ht="26.4" thickBot="1" x14ac:dyDescent="0.35">
      <c r="A6" s="3" t="s">
        <v>1</v>
      </c>
      <c r="B6" s="3"/>
      <c r="C6" s="3"/>
      <c r="D6" s="108">
        <v>45849</v>
      </c>
      <c r="E6" s="108"/>
      <c r="F6" s="108"/>
      <c r="G6" s="108"/>
      <c r="H6" s="108"/>
      <c r="I6" s="108"/>
      <c r="J6" s="4"/>
      <c r="K6" s="3" t="s">
        <v>2</v>
      </c>
      <c r="L6" s="3"/>
      <c r="M6" s="3"/>
      <c r="N6" s="109">
        <v>12345678</v>
      </c>
      <c r="O6" s="100"/>
      <c r="P6" s="100"/>
      <c r="Q6" s="100"/>
      <c r="S6" s="14"/>
      <c r="T6" s="16"/>
      <c r="U6" s="16"/>
      <c r="V6" s="16"/>
      <c r="W6" s="16"/>
    </row>
    <row r="7" spans="1:23" ht="4.2" customHeight="1" thickBot="1" x14ac:dyDescent="0.35">
      <c r="A7" s="3"/>
      <c r="B7" s="3"/>
      <c r="C7" s="3"/>
      <c r="D7" s="5"/>
      <c r="E7" s="5"/>
      <c r="F7" s="5"/>
      <c r="G7" s="5"/>
      <c r="H7" s="5"/>
      <c r="I7" s="5"/>
      <c r="J7" s="4"/>
      <c r="K7" s="4"/>
      <c r="L7" s="4"/>
      <c r="M7" s="4"/>
      <c r="N7" s="4"/>
      <c r="O7" s="4"/>
      <c r="P7" s="4"/>
      <c r="Q7" s="4"/>
      <c r="S7" s="73" t="s">
        <v>29</v>
      </c>
      <c r="T7" s="74"/>
      <c r="U7" s="74"/>
      <c r="V7" s="74"/>
      <c r="W7" s="75"/>
    </row>
    <row r="8" spans="1:23" ht="27.6" customHeight="1" thickBot="1" x14ac:dyDescent="0.35">
      <c r="A8" s="3" t="s">
        <v>3</v>
      </c>
      <c r="B8" s="3"/>
      <c r="C8" s="3"/>
      <c r="D8" s="100" t="s">
        <v>4</v>
      </c>
      <c r="E8" s="100"/>
      <c r="F8" s="100"/>
      <c r="G8" s="100"/>
      <c r="H8" s="100"/>
      <c r="I8" s="100"/>
      <c r="J8" s="4"/>
      <c r="K8" s="101" t="s">
        <v>5</v>
      </c>
      <c r="L8" s="101"/>
      <c r="M8" s="102" t="s">
        <v>37</v>
      </c>
      <c r="N8" s="100"/>
      <c r="O8" s="100"/>
      <c r="P8" s="100"/>
      <c r="Q8" s="100"/>
      <c r="S8" s="76"/>
      <c r="T8" s="77"/>
      <c r="U8" s="77"/>
      <c r="V8" s="77"/>
      <c r="W8" s="78"/>
    </row>
    <row r="9" spans="1:23" ht="5.4" customHeight="1" thickBot="1" x14ac:dyDescent="0.35">
      <c r="A9" s="3"/>
      <c r="B9" s="3"/>
      <c r="C9" s="3"/>
      <c r="D9" s="5"/>
      <c r="E9" s="5"/>
      <c r="F9" s="5"/>
      <c r="G9" s="5"/>
      <c r="H9" s="5"/>
      <c r="I9" s="5"/>
      <c r="J9" s="4"/>
      <c r="K9" s="4"/>
      <c r="L9" s="4"/>
      <c r="M9" s="4"/>
      <c r="N9" s="4"/>
      <c r="O9" s="4"/>
      <c r="P9" s="4"/>
      <c r="Q9" s="4"/>
      <c r="S9" s="76"/>
      <c r="T9" s="77"/>
      <c r="U9" s="77"/>
      <c r="V9" s="77"/>
      <c r="W9" s="78"/>
    </row>
    <row r="10" spans="1:23" ht="18.600000000000001" thickBot="1" x14ac:dyDescent="0.35">
      <c r="A10" s="110" t="s">
        <v>6</v>
      </c>
      <c r="B10" s="110"/>
      <c r="C10" s="111"/>
      <c r="D10" s="100" t="s">
        <v>7</v>
      </c>
      <c r="E10" s="100"/>
      <c r="F10" s="100"/>
      <c r="G10" s="100"/>
      <c r="H10" s="100"/>
      <c r="I10" s="100"/>
      <c r="J10" s="4"/>
      <c r="K10" s="101" t="s">
        <v>8</v>
      </c>
      <c r="L10" s="101"/>
      <c r="M10" s="101"/>
      <c r="N10" s="100"/>
      <c r="O10" s="100"/>
      <c r="P10" s="100"/>
      <c r="Q10" s="100"/>
      <c r="S10" s="76"/>
      <c r="T10" s="77"/>
      <c r="U10" s="77"/>
      <c r="V10" s="77"/>
      <c r="W10" s="78"/>
    </row>
    <row r="11" spans="1:23" ht="18.600000000000001" thickBot="1" x14ac:dyDescent="0.35">
      <c r="A11" s="3" t="s">
        <v>9</v>
      </c>
      <c r="B11" s="6"/>
      <c r="C11" s="6"/>
      <c r="D11" s="100" t="s">
        <v>10</v>
      </c>
      <c r="E11" s="100"/>
      <c r="F11" s="100"/>
      <c r="G11" s="100"/>
      <c r="H11" s="100"/>
      <c r="I11" s="100"/>
      <c r="J11" s="4"/>
      <c r="K11" s="101"/>
      <c r="L11" s="101"/>
      <c r="M11" s="101"/>
      <c r="N11" s="112"/>
      <c r="O11" s="112"/>
      <c r="P11" s="112"/>
      <c r="Q11" s="112"/>
      <c r="S11" s="76"/>
      <c r="T11" s="77"/>
      <c r="U11" s="77"/>
      <c r="V11" s="77"/>
      <c r="W11" s="78"/>
    </row>
    <row r="12" spans="1:23" ht="5.4" customHeight="1" thickBot="1" x14ac:dyDescent="0.35">
      <c r="A12" s="3"/>
      <c r="B12" s="3"/>
      <c r="C12" s="3"/>
      <c r="D12" s="5"/>
      <c r="E12" s="5"/>
      <c r="F12" s="5"/>
      <c r="G12" s="5"/>
      <c r="H12" s="5"/>
      <c r="I12" s="5"/>
      <c r="J12" s="4"/>
      <c r="K12" s="4"/>
      <c r="L12" s="4"/>
      <c r="M12" s="4"/>
      <c r="N12" s="7"/>
      <c r="O12" s="7"/>
      <c r="P12" s="7"/>
      <c r="Q12" s="7"/>
      <c r="S12" s="79"/>
      <c r="T12" s="80"/>
      <c r="U12" s="80"/>
      <c r="V12" s="80"/>
      <c r="W12" s="81"/>
    </row>
    <row r="13" spans="1:23" ht="36" customHeight="1" thickBot="1" x14ac:dyDescent="0.35">
      <c r="A13" s="101" t="s">
        <v>11</v>
      </c>
      <c r="B13" s="101"/>
      <c r="C13" s="123"/>
      <c r="D13" s="100" t="s">
        <v>12</v>
      </c>
      <c r="E13" s="100"/>
      <c r="F13" s="100"/>
      <c r="G13" s="100"/>
      <c r="H13" s="100"/>
      <c r="I13" s="100"/>
      <c r="J13" s="4"/>
      <c r="K13" s="124" t="s">
        <v>13</v>
      </c>
      <c r="L13" s="124"/>
      <c r="M13" s="124"/>
      <c r="N13" s="124"/>
      <c r="O13" s="124"/>
      <c r="P13" s="4"/>
      <c r="Q13" s="8" t="s">
        <v>14</v>
      </c>
    </row>
    <row r="14" spans="1:23" ht="16.2" thickBot="1" x14ac:dyDescent="0.35">
      <c r="A14" s="3"/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S14" s="72" t="s">
        <v>43</v>
      </c>
      <c r="T14" s="72"/>
      <c r="U14" s="72"/>
      <c r="V14" s="72"/>
      <c r="W14" s="72"/>
    </row>
    <row r="15" spans="1:23" ht="48.6" customHeight="1" thickBot="1" x14ac:dyDescent="0.35">
      <c r="A15" s="125" t="s">
        <v>38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S15" s="72"/>
      <c r="T15" s="72"/>
      <c r="U15" s="72"/>
      <c r="V15" s="72"/>
      <c r="W15" s="72"/>
    </row>
    <row r="16" spans="1:23" ht="49.2" customHeight="1" thickBot="1" x14ac:dyDescent="0.35">
      <c r="A16" s="128" t="s">
        <v>39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S16" s="72" t="s">
        <v>30</v>
      </c>
      <c r="T16" s="72"/>
      <c r="U16" s="72"/>
      <c r="V16" s="72"/>
      <c r="W16" s="72"/>
    </row>
    <row r="17" spans="1:23" ht="16.2" thickBo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S17" s="69" t="s">
        <v>27</v>
      </c>
      <c r="T17" s="69"/>
      <c r="U17" s="69"/>
      <c r="V17" s="70">
        <v>3</v>
      </c>
      <c r="W17" s="70"/>
    </row>
    <row r="18" spans="1:23" ht="15.6" customHeight="1" thickTop="1" thickBot="1" x14ac:dyDescent="0.35">
      <c r="A18" s="113" t="s">
        <v>15</v>
      </c>
      <c r="B18" s="114"/>
      <c r="C18" s="115"/>
      <c r="D18" s="119" t="s">
        <v>16</v>
      </c>
      <c r="E18" s="119"/>
      <c r="F18" s="119"/>
      <c r="G18" s="119"/>
      <c r="H18" s="120" t="s">
        <v>17</v>
      </c>
      <c r="I18" s="120"/>
      <c r="J18" s="120"/>
      <c r="K18" s="120"/>
      <c r="L18" s="120"/>
      <c r="M18" s="120"/>
      <c r="N18" s="120"/>
      <c r="O18" s="120"/>
      <c r="P18" s="121" t="s">
        <v>18</v>
      </c>
      <c r="Q18" s="121"/>
      <c r="S18" s="164" t="s">
        <v>33</v>
      </c>
      <c r="T18" s="165"/>
      <c r="U18" s="166"/>
      <c r="V18" s="167" t="s">
        <v>34</v>
      </c>
      <c r="W18" s="168"/>
    </row>
    <row r="19" spans="1:23" ht="15" customHeight="1" thickTop="1" thickBot="1" x14ac:dyDescent="0.35">
      <c r="A19" s="116"/>
      <c r="B19" s="117"/>
      <c r="C19" s="118"/>
      <c r="D19" s="119"/>
      <c r="E19" s="119"/>
      <c r="F19" s="119"/>
      <c r="G19" s="119"/>
      <c r="H19" s="120"/>
      <c r="I19" s="120"/>
      <c r="J19" s="120"/>
      <c r="K19" s="120"/>
      <c r="L19" s="120"/>
      <c r="M19" s="120"/>
      <c r="N19" s="120"/>
      <c r="O19" s="120"/>
      <c r="P19" s="121"/>
      <c r="Q19" s="121"/>
      <c r="S19" s="65" t="s">
        <v>35</v>
      </c>
      <c r="T19" s="65"/>
      <c r="U19" s="65"/>
      <c r="V19" s="66">
        <f>V17*0.7</f>
        <v>2.0999999999999996</v>
      </c>
      <c r="W19" s="66"/>
    </row>
    <row r="20" spans="1:23" ht="16.2" thickBot="1" x14ac:dyDescent="0.35">
      <c r="A20" s="122" t="s">
        <v>36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</row>
    <row r="21" spans="1:23" ht="16.2" thickTop="1" x14ac:dyDescent="0.3">
      <c r="A21" s="138">
        <v>45844</v>
      </c>
      <c r="B21" s="139"/>
      <c r="C21" s="140"/>
      <c r="D21" s="131" t="s">
        <v>19</v>
      </c>
      <c r="E21" s="131"/>
      <c r="F21" s="131"/>
      <c r="G21" s="131"/>
      <c r="H21" s="131" t="s">
        <v>40</v>
      </c>
      <c r="I21" s="131"/>
      <c r="J21" s="131"/>
      <c r="K21" s="131"/>
      <c r="L21" s="131"/>
      <c r="M21" s="131"/>
      <c r="N21" s="131"/>
      <c r="O21" s="131"/>
      <c r="P21" s="132">
        <v>12.21</v>
      </c>
      <c r="Q21" s="132"/>
    </row>
    <row r="22" spans="1:23" x14ac:dyDescent="0.3">
      <c r="A22" s="133">
        <v>45850</v>
      </c>
      <c r="B22" s="134"/>
      <c r="C22" s="135"/>
      <c r="D22" s="136" t="s">
        <v>41</v>
      </c>
      <c r="E22" s="136"/>
      <c r="F22" s="136"/>
      <c r="G22" s="136"/>
      <c r="H22" s="136" t="s">
        <v>42</v>
      </c>
      <c r="I22" s="136"/>
      <c r="J22" s="136"/>
      <c r="K22" s="136"/>
      <c r="L22" s="136"/>
      <c r="M22" s="136"/>
      <c r="N22" s="136"/>
      <c r="O22" s="136"/>
      <c r="P22" s="137">
        <f>3*0.7</f>
        <v>2.0999999999999996</v>
      </c>
      <c r="Q22" s="137"/>
    </row>
    <row r="23" spans="1:23" x14ac:dyDescent="0.3">
      <c r="A23" s="133"/>
      <c r="B23" s="134"/>
      <c r="C23" s="135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7"/>
      <c r="Q23" s="137"/>
    </row>
    <row r="24" spans="1:23" x14ac:dyDescent="0.3">
      <c r="A24" s="133"/>
      <c r="B24" s="134"/>
      <c r="C24" s="135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7"/>
      <c r="Q24" s="137"/>
    </row>
    <row r="25" spans="1:23" x14ac:dyDescent="0.3">
      <c r="A25" s="133"/>
      <c r="B25" s="134"/>
      <c r="C25" s="135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7"/>
      <c r="Q25" s="137"/>
    </row>
    <row r="26" spans="1:23" x14ac:dyDescent="0.3">
      <c r="A26" s="133"/>
      <c r="B26" s="134"/>
      <c r="C26" s="135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7"/>
      <c r="Q26" s="137"/>
      <c r="T26" s="14"/>
      <c r="U26" s="14"/>
      <c r="V26" s="14"/>
      <c r="W26" s="14"/>
    </row>
    <row r="27" spans="1:23" x14ac:dyDescent="0.3">
      <c r="A27" s="133"/>
      <c r="B27" s="134"/>
      <c r="C27" s="135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7"/>
      <c r="Q27" s="137"/>
      <c r="T27" s="14"/>
      <c r="U27" s="14"/>
      <c r="V27" s="14"/>
      <c r="W27" s="14"/>
    </row>
    <row r="28" spans="1:23" x14ac:dyDescent="0.3">
      <c r="A28" s="133"/>
      <c r="B28" s="134"/>
      <c r="C28" s="135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7"/>
      <c r="Q28" s="137"/>
      <c r="T28" s="14"/>
      <c r="U28" s="14"/>
      <c r="V28" s="14"/>
      <c r="W28" s="14"/>
    </row>
    <row r="29" spans="1:23" x14ac:dyDescent="0.3">
      <c r="A29" s="133"/>
      <c r="B29" s="134"/>
      <c r="C29" s="135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7"/>
      <c r="Q29" s="137"/>
      <c r="T29" s="14"/>
      <c r="U29" s="14"/>
      <c r="V29" s="14"/>
      <c r="W29" s="14"/>
    </row>
    <row r="30" spans="1:23" ht="16.2" thickBot="1" x14ac:dyDescent="0.35">
      <c r="A30" s="143"/>
      <c r="B30" s="144"/>
      <c r="C30" s="145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7"/>
      <c r="Q30" s="147"/>
      <c r="T30" s="14"/>
      <c r="U30" s="14"/>
      <c r="V30" s="14"/>
      <c r="W30" s="14"/>
    </row>
    <row r="31" spans="1:23" ht="18.600000000000001" thickBot="1" x14ac:dyDescent="0.35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9"/>
      <c r="M31" s="152" t="s">
        <v>20</v>
      </c>
      <c r="N31" s="152"/>
      <c r="O31" s="152"/>
      <c r="P31" s="153">
        <f>SUM(P21:Q30)</f>
        <v>14.31</v>
      </c>
      <c r="Q31" s="153"/>
      <c r="T31" s="14"/>
      <c r="U31" s="14"/>
      <c r="V31" s="14"/>
      <c r="W31" s="14"/>
    </row>
    <row r="32" spans="1:23" ht="18.600000000000001" thickBo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S32" s="17">
        <f>LEN(K37)</f>
        <v>0</v>
      </c>
      <c r="T32" s="14"/>
      <c r="U32" s="14"/>
      <c r="V32" s="14"/>
      <c r="W32" s="14"/>
    </row>
    <row r="33" spans="1:23" ht="16.2" thickBot="1" x14ac:dyDescent="0.35">
      <c r="A33" s="154" t="s">
        <v>21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T33" s="14"/>
      <c r="U33" s="14"/>
      <c r="V33" s="14"/>
      <c r="W33" s="14"/>
    </row>
    <row r="34" spans="1:2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T34" s="14"/>
      <c r="U34" s="14"/>
      <c r="V34" s="14"/>
      <c r="W34" s="14"/>
    </row>
    <row r="35" spans="1:23" ht="18" x14ac:dyDescent="0.3">
      <c r="A35" s="155" t="s">
        <v>22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T35" s="14"/>
      <c r="U35" s="14"/>
      <c r="V35" s="14"/>
      <c r="W35" s="14"/>
    </row>
    <row r="36" spans="1:23" ht="18" x14ac:dyDescent="0.3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T36" s="14"/>
      <c r="U36" s="14"/>
      <c r="V36" s="14"/>
      <c r="W36" s="14"/>
    </row>
    <row r="37" spans="1:23" ht="26.4" customHeight="1" x14ac:dyDescent="0.3">
      <c r="A37" s="156" t="s">
        <v>23</v>
      </c>
      <c r="B37" s="157"/>
      <c r="C37" s="142" t="s">
        <v>44</v>
      </c>
      <c r="D37" s="142"/>
      <c r="E37" s="142"/>
      <c r="F37" s="142"/>
      <c r="G37" s="142"/>
      <c r="H37" s="142"/>
      <c r="I37" s="141" t="s">
        <v>24</v>
      </c>
      <c r="J37" s="141"/>
      <c r="K37" s="142"/>
      <c r="L37" s="142"/>
      <c r="M37" s="142"/>
      <c r="N37" s="142"/>
      <c r="O37" s="142"/>
      <c r="P37" s="142"/>
      <c r="Q37" s="142"/>
      <c r="T37" s="14"/>
      <c r="U37" s="14"/>
      <c r="V37" s="14"/>
      <c r="W37" s="14"/>
    </row>
    <row r="38" spans="1:23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T38" s="14"/>
      <c r="U38" s="14"/>
      <c r="V38" s="14"/>
      <c r="W38" s="14"/>
    </row>
    <row r="39" spans="1:23" ht="36.6" customHeight="1" x14ac:dyDescent="0.3">
      <c r="A39" s="148" t="s">
        <v>25</v>
      </c>
      <c r="B39" s="149"/>
      <c r="C39" s="150"/>
      <c r="D39" s="150"/>
      <c r="E39" s="150"/>
      <c r="F39" s="150"/>
      <c r="G39" s="150"/>
      <c r="H39" s="150"/>
      <c r="I39" s="150"/>
      <c r="J39" s="12"/>
      <c r="K39" s="13" t="s">
        <v>26</v>
      </c>
      <c r="L39" s="150"/>
      <c r="M39" s="150"/>
      <c r="N39" s="150"/>
      <c r="O39" s="150"/>
      <c r="P39" s="150"/>
      <c r="Q39" s="150"/>
      <c r="T39" s="14"/>
      <c r="U39" s="14"/>
      <c r="V39" s="14"/>
      <c r="W39" s="14"/>
    </row>
    <row r="40" spans="1:23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61"/>
      <c r="L40" s="61"/>
      <c r="M40" s="61"/>
      <c r="N40" s="61"/>
      <c r="O40" s="61"/>
      <c r="P40" s="61"/>
      <c r="Q40" s="61"/>
      <c r="T40" s="14"/>
      <c r="U40" s="14"/>
      <c r="V40" s="14"/>
      <c r="W40" s="14"/>
    </row>
    <row r="41" spans="1:2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T41" s="14"/>
      <c r="U41" s="14"/>
      <c r="V41" s="14"/>
      <c r="W41" s="14"/>
    </row>
    <row r="42" spans="1:23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2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2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2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23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2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23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</sheetData>
  <mergeCells count="87">
    <mergeCell ref="S19:U19"/>
    <mergeCell ref="V19:W19"/>
    <mergeCell ref="S4:W5"/>
    <mergeCell ref="S18:U18"/>
    <mergeCell ref="V18:W18"/>
    <mergeCell ref="A39:B39"/>
    <mergeCell ref="C39:I39"/>
    <mergeCell ref="L39:Q39"/>
    <mergeCell ref="K40:Q40"/>
    <mergeCell ref="S7:W12"/>
    <mergeCell ref="S14:W15"/>
    <mergeCell ref="S16:W16"/>
    <mergeCell ref="S17:U17"/>
    <mergeCell ref="V17:W17"/>
    <mergeCell ref="A31:K31"/>
    <mergeCell ref="M31:O31"/>
    <mergeCell ref="P31:Q31"/>
    <mergeCell ref="A33:Q33"/>
    <mergeCell ref="A35:Q35"/>
    <mergeCell ref="A37:B37"/>
    <mergeCell ref="C37:H37"/>
    <mergeCell ref="A28:C28"/>
    <mergeCell ref="D28:G28"/>
    <mergeCell ref="H28:O28"/>
    <mergeCell ref="P28:Q28"/>
    <mergeCell ref="I37:J37"/>
    <mergeCell ref="K37:Q37"/>
    <mergeCell ref="A29:C29"/>
    <mergeCell ref="D29:G29"/>
    <mergeCell ref="H29:O29"/>
    <mergeCell ref="P29:Q29"/>
    <mergeCell ref="A30:C30"/>
    <mergeCell ref="D30:G30"/>
    <mergeCell ref="H30:O30"/>
    <mergeCell ref="P30:Q30"/>
    <mergeCell ref="A26:C26"/>
    <mergeCell ref="D26:G26"/>
    <mergeCell ref="H26:O26"/>
    <mergeCell ref="P26:Q26"/>
    <mergeCell ref="A27:C27"/>
    <mergeCell ref="D27:G27"/>
    <mergeCell ref="H27:O27"/>
    <mergeCell ref="P27:Q27"/>
    <mergeCell ref="A24:C24"/>
    <mergeCell ref="D24:G24"/>
    <mergeCell ref="H24:O24"/>
    <mergeCell ref="P24:Q24"/>
    <mergeCell ref="A25:C25"/>
    <mergeCell ref="D25:G25"/>
    <mergeCell ref="H25:O25"/>
    <mergeCell ref="P25:Q25"/>
    <mergeCell ref="H21:O21"/>
    <mergeCell ref="P21:Q21"/>
    <mergeCell ref="A23:C23"/>
    <mergeCell ref="D23:G23"/>
    <mergeCell ref="H23:O23"/>
    <mergeCell ref="P23:Q23"/>
    <mergeCell ref="A22:C22"/>
    <mergeCell ref="D22:G22"/>
    <mergeCell ref="H22:O22"/>
    <mergeCell ref="P22:Q22"/>
    <mergeCell ref="A21:C21"/>
    <mergeCell ref="D21:G21"/>
    <mergeCell ref="A13:C13"/>
    <mergeCell ref="D13:I13"/>
    <mergeCell ref="K13:O13"/>
    <mergeCell ref="A15:Q15"/>
    <mergeCell ref="A16:Q16"/>
    <mergeCell ref="A18:C19"/>
    <mergeCell ref="D18:G19"/>
    <mergeCell ref="H18:O19"/>
    <mergeCell ref="P18:Q19"/>
    <mergeCell ref="A20:Q20"/>
    <mergeCell ref="A10:C10"/>
    <mergeCell ref="D10:I10"/>
    <mergeCell ref="K10:M11"/>
    <mergeCell ref="N10:Q10"/>
    <mergeCell ref="D11:I11"/>
    <mergeCell ref="N11:Q11"/>
    <mergeCell ref="D8:I8"/>
    <mergeCell ref="K8:L8"/>
    <mergeCell ref="M8:Q8"/>
    <mergeCell ref="A1:Q1"/>
    <mergeCell ref="A2:Q2"/>
    <mergeCell ref="A4:Q4"/>
    <mergeCell ref="D6:I6"/>
    <mergeCell ref="N6:Q6"/>
  </mergeCells>
  <conditionalFormatting sqref="P31">
    <cfRule type="cellIs" dxfId="1" priority="1" stopIfTrue="1" operator="equal">
      <formula>0</formula>
    </cfRule>
    <cfRule type="cellIs" dxfId="0" priority="2" stopIfTrue="1" operator="equal">
      <formula>0</formula>
    </cfRule>
  </conditionalFormatting>
  <hyperlinks>
    <hyperlink ref="M8" r:id="rId1" xr:uid="{8B30C4D4-2C61-4A11-A207-4E47BA5E42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Student Reimbursement Form</vt:lpstr>
      <vt:lpstr>Example</vt:lpstr>
      <vt:lpstr>'Student Reimbursement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McGinty</dc:creator>
  <cp:lastModifiedBy>Holly McGinty</cp:lastModifiedBy>
  <cp:lastPrinted>2025-07-21T14:01:31Z</cp:lastPrinted>
  <dcterms:created xsi:type="dcterms:W3CDTF">2025-07-17T19:28:37Z</dcterms:created>
  <dcterms:modified xsi:type="dcterms:W3CDTF">2025-09-03T20:01:14Z</dcterms:modified>
</cp:coreProperties>
</file>